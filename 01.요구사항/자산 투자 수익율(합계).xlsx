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.은퇴계획\투자통계\01.요구사항\"/>
    </mc:Choice>
  </mc:AlternateContent>
  <bookViews>
    <workbookView xWindow="0" yWindow="0" windowWidth="23040" windowHeight="10392" activeTab="2"/>
  </bookViews>
  <sheets>
    <sheet name="0.(년도별)투자 수익율" sheetId="1" r:id="rId1"/>
    <sheet name="0.계좌별 수익율" sheetId="2" r:id="rId2"/>
    <sheet name="2.투자 실적" sheetId="5" r:id="rId3"/>
  </sheets>
  <calcPr calcId="162913"/>
</workbook>
</file>

<file path=xl/calcChain.xml><?xml version="1.0" encoding="utf-8"?>
<calcChain xmlns="http://schemas.openxmlformats.org/spreadsheetml/2006/main">
  <c r="E44" i="2" l="1"/>
  <c r="D44" i="2"/>
  <c r="E43" i="2"/>
  <c r="E42" i="2"/>
  <c r="E37" i="2"/>
  <c r="E36" i="2"/>
  <c r="E31" i="2"/>
  <c r="E30" i="2"/>
  <c r="E25" i="2"/>
  <c r="E24" i="2"/>
  <c r="E22" i="2"/>
  <c r="E21" i="2"/>
  <c r="E19" i="2"/>
  <c r="E18" i="2"/>
  <c r="E16" i="2"/>
  <c r="E15" i="2"/>
  <c r="E52" i="1"/>
  <c r="C4" i="1" s="1"/>
  <c r="D52" i="1"/>
  <c r="F52" i="1" s="1"/>
  <c r="G52" i="1" s="1"/>
  <c r="F51" i="1"/>
  <c r="G51" i="1" s="1"/>
  <c r="F50" i="1"/>
  <c r="G50" i="1" s="1"/>
  <c r="G49" i="1"/>
  <c r="F49" i="1"/>
  <c r="G48" i="1"/>
  <c r="F48" i="1"/>
  <c r="F47" i="1"/>
  <c r="G47" i="1" s="1"/>
  <c r="G46" i="1"/>
  <c r="F46" i="1"/>
  <c r="G45" i="1"/>
  <c r="F45" i="1"/>
  <c r="E39" i="1"/>
  <c r="D4" i="1" s="1"/>
  <c r="F38" i="1"/>
  <c r="G38" i="1" s="1"/>
  <c r="F37" i="1"/>
  <c r="G37" i="1" s="1"/>
  <c r="G36" i="1"/>
  <c r="F36" i="1"/>
  <c r="F35" i="1"/>
  <c r="G35" i="1" s="1"/>
  <c r="F34" i="1"/>
  <c r="G34" i="1" s="1"/>
  <c r="F33" i="1"/>
  <c r="G33" i="1" s="1"/>
  <c r="G32" i="1"/>
  <c r="F32" i="1"/>
  <c r="F31" i="1"/>
  <c r="G31" i="1" s="1"/>
  <c r="F30" i="1"/>
  <c r="D7" i="1"/>
  <c r="D3" i="1"/>
  <c r="D12" i="5"/>
  <c r="E19" i="1"/>
  <c r="D19" i="1"/>
  <c r="E17" i="1"/>
  <c r="D16" i="5"/>
  <c r="D4" i="5"/>
  <c r="E16" i="1"/>
  <c r="D20" i="1"/>
  <c r="D32" i="5"/>
  <c r="E15" i="1"/>
  <c r="E22" i="1"/>
  <c r="D15" i="1"/>
  <c r="D18" i="1"/>
  <c r="D16" i="1"/>
  <c r="D14" i="1"/>
  <c r="D22" i="1"/>
  <c r="D21" i="1"/>
  <c r="D36" i="5"/>
  <c r="D23" i="1"/>
  <c r="F32" i="2"/>
  <c r="F26" i="2"/>
  <c r="D17" i="1"/>
  <c r="F38" i="2"/>
  <c r="D28" i="5"/>
  <c r="E18" i="1"/>
  <c r="E23" i="1"/>
  <c r="F41" i="2"/>
  <c r="E3" i="2"/>
  <c r="E4" i="2"/>
  <c r="D24" i="5"/>
  <c r="F29" i="2"/>
  <c r="E20" i="1"/>
  <c r="F14" i="2"/>
  <c r="F17" i="2"/>
  <c r="D20" i="5"/>
  <c r="D40" i="5"/>
  <c r="F35" i="2"/>
  <c r="D8" i="5"/>
  <c r="F23" i="2"/>
  <c r="F20" i="2"/>
  <c r="E21" i="1"/>
  <c r="E14" i="1"/>
  <c r="E8" i="2"/>
  <c r="F16" i="1" l="1"/>
  <c r="G16" i="1" s="1"/>
  <c r="F44" i="2"/>
  <c r="F16" i="2"/>
  <c r="F15" i="2"/>
  <c r="F20" i="1"/>
  <c r="G20" i="1" s="1"/>
  <c r="G21" i="1"/>
  <c r="F31" i="2"/>
  <c r="F30" i="2"/>
  <c r="F43" i="2"/>
  <c r="F42" i="2"/>
  <c r="F28" i="2"/>
  <c r="F27" i="2"/>
  <c r="D24" i="1"/>
  <c r="E3" i="1" s="1"/>
  <c r="F22" i="1"/>
  <c r="G22" i="1" s="1"/>
  <c r="D44" i="5"/>
  <c r="F17" i="1"/>
  <c r="G17" i="1" s="1"/>
  <c r="F14" i="1"/>
  <c r="E24" i="1"/>
  <c r="E4" i="1" s="1"/>
  <c r="F18" i="1"/>
  <c r="G18" i="1" s="1"/>
  <c r="F22" i="2"/>
  <c r="F21" i="2"/>
  <c r="F39" i="2"/>
  <c r="F40" i="2"/>
  <c r="F19" i="2"/>
  <c r="F18" i="2"/>
  <c r="E7" i="2"/>
  <c r="E6" i="2"/>
  <c r="E5" i="2"/>
  <c r="F23" i="1"/>
  <c r="G23" i="1" s="1"/>
  <c r="F34" i="2"/>
  <c r="F33" i="2"/>
  <c r="F15" i="1"/>
  <c r="G15" i="1" s="1"/>
  <c r="F19" i="1"/>
  <c r="G19" i="1" s="1"/>
  <c r="F24" i="2"/>
  <c r="F25" i="2"/>
  <c r="F37" i="2"/>
  <c r="F36" i="2"/>
  <c r="F39" i="1"/>
  <c r="G39" i="1" s="1"/>
  <c r="D8" i="1" s="1"/>
  <c r="G30" i="1"/>
  <c r="C6" i="1"/>
  <c r="C8" i="1"/>
  <c r="D5" i="1"/>
  <c r="D6" i="1"/>
  <c r="C3" i="1"/>
  <c r="C7" i="1" s="1"/>
  <c r="E5" i="1" l="1"/>
  <c r="E7" i="1"/>
  <c r="E6" i="1"/>
  <c r="G14" i="1"/>
  <c r="F24" i="1"/>
  <c r="G24" i="1" s="1"/>
  <c r="E8" i="1" s="1"/>
</calcChain>
</file>

<file path=xl/sharedStrings.xml><?xml version="1.0" encoding="utf-8"?>
<sst xmlns="http://schemas.openxmlformats.org/spreadsheetml/2006/main" count="245" uniqueCount="73">
  <si>
    <t>구분</t>
  </si>
  <si>
    <t>2024년</t>
  </si>
  <si>
    <t>2025년</t>
  </si>
  <si>
    <t>2026년</t>
  </si>
  <si>
    <t>계좌번호</t>
  </si>
  <si>
    <t>2027년</t>
  </si>
  <si>
    <t>2028년</t>
  </si>
  <si>
    <t>2029년</t>
  </si>
  <si>
    <t>2030년</t>
  </si>
  <si>
    <t>투자 원금</t>
  </si>
  <si>
    <t>12월</t>
  </si>
  <si>
    <t>1월</t>
  </si>
  <si>
    <t>2월</t>
  </si>
  <si>
    <t>3월</t>
  </si>
  <si>
    <t>4월</t>
  </si>
  <si>
    <t>5월</t>
  </si>
  <si>
    <t>6월</t>
  </si>
  <si>
    <t>7월</t>
  </si>
  <si>
    <t>8월</t>
  </si>
  <si>
    <t>현재 금액</t>
  </si>
  <si>
    <t>금액</t>
  </si>
  <si>
    <t>수익금액(년도)</t>
  </si>
  <si>
    <t>수익</t>
  </si>
  <si>
    <t>수익율</t>
  </si>
  <si>
    <t>수익율(년도)</t>
  </si>
  <si>
    <t>퇴직연금</t>
  </si>
  <si>
    <t>220-91-xxxx-757</t>
  </si>
  <si>
    <t>수익금액(원금)</t>
  </si>
  <si>
    <t>수익율(원금)</t>
  </si>
  <si>
    <t>[ 2026 년 수익율 ]</t>
  </si>
  <si>
    <t>개인연금(구)</t>
  </si>
  <si>
    <t>220-34-xxxx-151</t>
  </si>
  <si>
    <t>원금</t>
  </si>
  <si>
    <t>현재금액</t>
  </si>
  <si>
    <t>개인연금(신)</t>
  </si>
  <si>
    <t>112-8680-xxxx-0</t>
  </si>
  <si>
    <t>퇴직금(DC)</t>
  </si>
  <si>
    <t>496-3028-xxxx-0</t>
  </si>
  <si>
    <t>ISA</t>
  </si>
  <si>
    <t>648-8656-5136-0</t>
  </si>
  <si>
    <t>처리투자(한국)</t>
  </si>
  <si>
    <t>006-99-xx-621</t>
  </si>
  <si>
    <t>미국투자(처리)</t>
  </si>
  <si>
    <t>006-99-xxx-621</t>
  </si>
  <si>
    <t>미국투자(삼성)</t>
  </si>
  <si>
    <t>432-7936-xxx-0</t>
  </si>
  <si>
    <t>퇴직연금(삼성)</t>
  </si>
  <si>
    <t>112-8680-4468-0</t>
  </si>
  <si>
    <t>은퇴투자(미래에셋)</t>
  </si>
  <si>
    <t>432-7936-0880-0</t>
  </si>
  <si>
    <t>합계</t>
  </si>
  <si>
    <t>[ 2025 년 수익율 ]</t>
  </si>
  <si>
    <t>처리투자(미래에셋)</t>
  </si>
  <si>
    <t>처리투자(삼성증권)</t>
  </si>
  <si>
    <t>[ 2024 년 수익율 ]</t>
  </si>
  <si>
    <t>은퇴투자(삼성증권)</t>
  </si>
  <si>
    <t>https://retiremoni.smbridge.cc/simulators/etf-screener</t>
  </si>
  <si>
    <t>9월</t>
  </si>
  <si>
    <t>10월</t>
  </si>
  <si>
    <t>11월</t>
  </si>
  <si>
    <t>현재가</t>
  </si>
  <si>
    <t>수익금액</t>
  </si>
  <si>
    <r>
      <rPr>
        <b/>
        <sz val="11"/>
        <color theme="1"/>
        <rFont val="돋움"/>
        <family val="3"/>
        <charset val="129"/>
      </rPr>
      <t xml:space="preserve">퇴직연금
</t>
    </r>
    <r>
      <rPr>
        <b/>
        <sz val="11"/>
        <color theme="1"/>
        <rFont val="&quot;Malgun Gothic&quot;"/>
      </rPr>
      <t>(</t>
    </r>
    <r>
      <rPr>
        <b/>
        <sz val="11"/>
        <color theme="1"/>
        <rFont val="돋움"/>
        <family val="3"/>
        <charset val="129"/>
      </rPr>
      <t>미래에셋</t>
    </r>
    <r>
      <rPr>
        <b/>
        <sz val="11"/>
        <color theme="1"/>
        <rFont val="&quot;Malgun Gothic&quot;"/>
      </rPr>
      <t>)</t>
    </r>
    <phoneticPr fontId="14" type="noConversion"/>
  </si>
  <si>
    <r>
      <rPr>
        <b/>
        <sz val="11"/>
        <color theme="1"/>
        <rFont val="돋움"/>
        <family val="3"/>
        <charset val="129"/>
      </rPr>
      <t>개인연금</t>
    </r>
    <r>
      <rPr>
        <b/>
        <sz val="11"/>
        <color theme="1"/>
        <rFont val="&quot;Malgun Gothic&quot;"/>
      </rPr>
      <t>(</t>
    </r>
    <r>
      <rPr>
        <b/>
        <sz val="11"/>
        <color theme="1"/>
        <rFont val="돋움"/>
        <family val="3"/>
        <charset val="129"/>
      </rPr>
      <t>기존</t>
    </r>
    <r>
      <rPr>
        <b/>
        <sz val="11"/>
        <color theme="1"/>
        <rFont val="&quot;Malgun Gothic&quot;"/>
      </rPr>
      <t>)
(</t>
    </r>
    <r>
      <rPr>
        <b/>
        <sz val="11"/>
        <color theme="1"/>
        <rFont val="돋움"/>
        <family val="3"/>
        <charset val="129"/>
      </rPr>
      <t>미래에셋</t>
    </r>
    <r>
      <rPr>
        <b/>
        <sz val="11"/>
        <color theme="1"/>
        <rFont val="&quot;Malgun Gothic&quot;"/>
      </rPr>
      <t>)</t>
    </r>
    <phoneticPr fontId="14" type="noConversion"/>
  </si>
  <si>
    <r>
      <rPr>
        <b/>
        <sz val="11"/>
        <color theme="1"/>
        <rFont val="돋움"/>
        <family val="3"/>
        <charset val="129"/>
      </rPr>
      <t>개인연금</t>
    </r>
    <r>
      <rPr>
        <b/>
        <sz val="11"/>
        <color theme="1"/>
        <rFont val="&quot;Malgun Gothic&quot;"/>
      </rPr>
      <t>(</t>
    </r>
    <r>
      <rPr>
        <b/>
        <sz val="11"/>
        <color theme="1"/>
        <rFont val="돋움"/>
        <family val="3"/>
        <charset val="129"/>
      </rPr>
      <t>신</t>
    </r>
    <r>
      <rPr>
        <b/>
        <sz val="11"/>
        <color theme="1"/>
        <rFont val="&quot;Malgun Gothic&quot;"/>
      </rPr>
      <t>)
(</t>
    </r>
    <r>
      <rPr>
        <b/>
        <sz val="11"/>
        <color theme="1"/>
        <rFont val="돋움"/>
        <family val="3"/>
        <charset val="129"/>
      </rPr>
      <t>미래에셋</t>
    </r>
    <r>
      <rPr>
        <b/>
        <sz val="11"/>
        <color theme="1"/>
        <rFont val="&quot;Malgun Gothic&quot;"/>
      </rPr>
      <t>)</t>
    </r>
    <phoneticPr fontId="14" type="noConversion"/>
  </si>
  <si>
    <r>
      <t>DC</t>
    </r>
    <r>
      <rPr>
        <b/>
        <sz val="11"/>
        <color theme="1"/>
        <rFont val="돋움"/>
        <family val="3"/>
        <charset val="129"/>
      </rPr>
      <t xml:space="preserve">계좌
</t>
    </r>
    <r>
      <rPr>
        <b/>
        <sz val="11"/>
        <color theme="1"/>
        <rFont val="&quot;Malgun Gothic&quot;"/>
      </rPr>
      <t>(</t>
    </r>
    <r>
      <rPr>
        <b/>
        <sz val="11"/>
        <color theme="1"/>
        <rFont val="돋움"/>
        <family val="3"/>
        <charset val="129"/>
      </rPr>
      <t>미래에셋</t>
    </r>
    <r>
      <rPr>
        <b/>
        <sz val="11"/>
        <color theme="1"/>
        <rFont val="&quot;Malgun Gothic&quot;"/>
      </rPr>
      <t>)</t>
    </r>
    <phoneticPr fontId="14" type="noConversion"/>
  </si>
  <si>
    <r>
      <rPr>
        <b/>
        <sz val="11"/>
        <color theme="1"/>
        <rFont val="돋움"/>
        <family val="3"/>
        <charset val="129"/>
      </rPr>
      <t xml:space="preserve">퇴직연금
</t>
    </r>
    <r>
      <rPr>
        <b/>
        <sz val="11"/>
        <color theme="1"/>
        <rFont val="&quot;Malgun Gothic&quot;"/>
      </rPr>
      <t>(</t>
    </r>
    <r>
      <rPr>
        <b/>
        <sz val="11"/>
        <color theme="1"/>
        <rFont val="돋움"/>
        <family val="3"/>
        <charset val="129"/>
      </rPr>
      <t>삼성증권</t>
    </r>
    <r>
      <rPr>
        <b/>
        <sz val="11"/>
        <color theme="1"/>
        <rFont val="&quot;Malgun Gothic&quot;"/>
      </rPr>
      <t>)</t>
    </r>
    <phoneticPr fontId="14" type="noConversion"/>
  </si>
  <si>
    <r>
      <rPr>
        <b/>
        <sz val="11"/>
        <color theme="1"/>
        <rFont val="돋움"/>
        <family val="3"/>
        <charset val="129"/>
      </rPr>
      <t xml:space="preserve">처리투자
</t>
    </r>
    <r>
      <rPr>
        <b/>
        <sz val="11"/>
        <color theme="1"/>
        <rFont val="&quot;Malgun Gothic&quot;"/>
      </rPr>
      <t>(</t>
    </r>
    <r>
      <rPr>
        <b/>
        <sz val="11"/>
        <color theme="1"/>
        <rFont val="돋움"/>
        <family val="3"/>
        <charset val="129"/>
      </rPr>
      <t>미래에셋</t>
    </r>
    <r>
      <rPr>
        <b/>
        <sz val="11"/>
        <color theme="1"/>
        <rFont val="&quot;Malgun Gothic&quot;"/>
      </rPr>
      <t>)</t>
    </r>
    <phoneticPr fontId="14" type="noConversion"/>
  </si>
  <si>
    <r>
      <rPr>
        <b/>
        <sz val="11"/>
        <color theme="1"/>
        <rFont val="돋움"/>
        <family val="3"/>
        <charset val="129"/>
      </rPr>
      <t xml:space="preserve">처리투자
</t>
    </r>
    <r>
      <rPr>
        <b/>
        <sz val="11"/>
        <color theme="1"/>
        <rFont val="&quot;Malgun Gothic&quot;"/>
      </rPr>
      <t>(</t>
    </r>
    <r>
      <rPr>
        <b/>
        <sz val="11"/>
        <color theme="1"/>
        <rFont val="돋움"/>
        <family val="3"/>
        <charset val="129"/>
      </rPr>
      <t>삼성증권</t>
    </r>
    <r>
      <rPr>
        <b/>
        <sz val="11"/>
        <color theme="1"/>
        <rFont val="&quot;Malgun Gothic&quot;"/>
      </rPr>
      <t>)</t>
    </r>
    <phoneticPr fontId="14" type="noConversion"/>
  </si>
  <si>
    <t>은퇴투자
(삼성증권)</t>
    <phoneticPr fontId="14" type="noConversion"/>
  </si>
  <si>
    <r>
      <rPr>
        <b/>
        <sz val="11"/>
        <color theme="1"/>
        <rFont val="돋움"/>
        <family val="3"/>
        <charset val="129"/>
      </rPr>
      <t xml:space="preserve">은퇴투자
</t>
    </r>
    <r>
      <rPr>
        <b/>
        <sz val="11"/>
        <color theme="1"/>
        <rFont val="&quot;Malgun Gothic&quot;"/>
      </rPr>
      <t>(</t>
    </r>
    <r>
      <rPr>
        <b/>
        <sz val="11"/>
        <color theme="1"/>
        <rFont val="돋움"/>
        <family val="3"/>
        <charset val="129"/>
      </rPr>
      <t>미래에셋</t>
    </r>
    <r>
      <rPr>
        <b/>
        <sz val="11"/>
        <color theme="1"/>
        <rFont val="&quot;Malgun Gothic&quot;"/>
      </rPr>
      <t>)</t>
    </r>
    <phoneticPr fontId="14" type="noConversion"/>
  </si>
  <si>
    <r>
      <t>ISA
(</t>
    </r>
    <r>
      <rPr>
        <b/>
        <sz val="11"/>
        <color theme="1"/>
        <rFont val="돋움"/>
        <family val="3"/>
        <charset val="129"/>
      </rPr>
      <t>미래에셋</t>
    </r>
    <r>
      <rPr>
        <b/>
        <sz val="11"/>
        <color theme="1"/>
        <rFont val="&quot;Malgun Gothic&quot;"/>
      </rPr>
      <t>)</t>
    </r>
    <phoneticPr fontId="14" type="noConversion"/>
  </si>
  <si>
    <t>원금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</si>
</sst>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-;\-* #,##0_-;_-* &quot;-&quot;_-;_-@"/>
  </numFmts>
  <fonts count="1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Malgun Gothic"/>
      <family val="3"/>
      <charset val="129"/>
    </font>
    <font>
      <b/>
      <sz val="12"/>
      <color theme="1"/>
      <name val="Arial"/>
      <scheme val="minor"/>
    </font>
    <font>
      <sz val="10"/>
      <name val="Arial"/>
    </font>
    <font>
      <b/>
      <sz val="12"/>
      <color theme="1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sz val="11"/>
      <color theme="1"/>
      <name val="Malgun Gothic"/>
      <family val="3"/>
      <charset val="129"/>
    </font>
    <font>
      <u/>
      <sz val="10"/>
      <color rgb="FF0000FF"/>
      <name val="Arial"/>
    </font>
    <font>
      <b/>
      <sz val="11"/>
      <color theme="1"/>
      <name val="&quot;Malgun Gothic&quot;"/>
    </font>
    <font>
      <sz val="11"/>
      <color theme="1"/>
      <name val="&quot;Malgun Gothic&quot;"/>
    </font>
    <font>
      <sz val="11"/>
      <color theme="1"/>
      <name val="Arial"/>
      <family val="2"/>
      <scheme val="minor"/>
    </font>
    <font>
      <b/>
      <sz val="12"/>
      <color theme="1"/>
      <name val="&quot;Malgun Gothic&quot;"/>
    </font>
    <font>
      <sz val="11"/>
      <color rgb="FF000000"/>
      <name val="Malgun Gothic"/>
      <family val="3"/>
      <charset val="129"/>
    </font>
    <font>
      <sz val="8"/>
      <name val="Arial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</fonts>
  <fills count="2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FEF2CB"/>
        <bgColor rgb="FFFEF2C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76" fontId="2" fillId="0" borderId="1" xfId="0" applyNumberFormat="1" applyFont="1" applyBorder="1" applyAlignment="1">
      <alignment horizontal="right"/>
    </xf>
    <xf numFmtId="176" fontId="2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76" fontId="6" fillId="5" borderId="1" xfId="0" applyNumberFormat="1" applyFont="1" applyFill="1" applyBorder="1" applyAlignment="1">
      <alignment horizontal="right"/>
    </xf>
    <xf numFmtId="176" fontId="6" fillId="5" borderId="1" xfId="0" applyNumberFormat="1" applyFont="1" applyFill="1" applyBorder="1" applyAlignment="1">
      <alignment horizontal="right"/>
    </xf>
    <xf numFmtId="3" fontId="6" fillId="5" borderId="1" xfId="0" applyNumberFormat="1" applyFont="1" applyFill="1" applyBorder="1" applyAlignment="1">
      <alignment horizontal="right"/>
    </xf>
    <xf numFmtId="0" fontId="1" fillId="5" borderId="1" xfId="0" applyFont="1" applyFill="1" applyBorder="1" applyAlignment="1">
      <alignment horizontal="center"/>
    </xf>
    <xf numFmtId="10" fontId="6" fillId="5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  <xf numFmtId="10" fontId="6" fillId="5" borderId="1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76" fontId="2" fillId="6" borderId="1" xfId="0" applyNumberFormat="1" applyFont="1" applyFill="1" applyBorder="1" applyAlignment="1"/>
    <xf numFmtId="176" fontId="2" fillId="6" borderId="1" xfId="0" applyNumberFormat="1" applyFont="1" applyFill="1" applyBorder="1"/>
    <xf numFmtId="10" fontId="2" fillId="6" borderId="1" xfId="0" applyNumberFormat="1" applyFont="1" applyFill="1" applyBorder="1"/>
    <xf numFmtId="0" fontId="3" fillId="7" borderId="1" xfId="0" applyFont="1" applyFill="1" applyBorder="1" applyAlignment="1">
      <alignment horizontal="center"/>
    </xf>
    <xf numFmtId="3" fontId="6" fillId="7" borderId="1" xfId="0" applyNumberFormat="1" applyFont="1" applyFill="1" applyBorder="1" applyAlignment="1">
      <alignment horizontal="right"/>
    </xf>
    <xf numFmtId="10" fontId="2" fillId="8" borderId="1" xfId="0" applyNumberFormat="1" applyFont="1" applyFill="1" applyBorder="1"/>
    <xf numFmtId="176" fontId="6" fillId="7" borderId="1" xfId="0" applyNumberFormat="1" applyFont="1" applyFill="1" applyBorder="1" applyAlignment="1">
      <alignment horizontal="right"/>
    </xf>
    <xf numFmtId="0" fontId="1" fillId="7" borderId="1" xfId="0" applyFont="1" applyFill="1" applyBorder="1" applyAlignment="1">
      <alignment horizontal="center"/>
    </xf>
    <xf numFmtId="10" fontId="6" fillId="7" borderId="1" xfId="0" applyNumberFormat="1" applyFont="1" applyFill="1" applyBorder="1" applyAlignment="1"/>
    <xf numFmtId="10" fontId="6" fillId="7" borderId="1" xfId="0" applyNumberFormat="1" applyFont="1" applyFill="1" applyBorder="1"/>
    <xf numFmtId="0" fontId="1" fillId="7" borderId="1" xfId="0" applyFont="1" applyFill="1" applyBorder="1"/>
    <xf numFmtId="0" fontId="3" fillId="0" borderId="0" xfId="0" applyFont="1" applyAlignment="1"/>
    <xf numFmtId="0" fontId="3" fillId="0" borderId="0" xfId="0" applyFont="1" applyAlignment="1">
      <alignment horizontal="center"/>
    </xf>
    <xf numFmtId="176" fontId="2" fillId="4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left" vertical="center"/>
    </xf>
    <xf numFmtId="0" fontId="2" fillId="6" borderId="1" xfId="0" applyFont="1" applyFill="1" applyBorder="1"/>
    <xf numFmtId="0" fontId="7" fillId="0" borderId="1" xfId="0" applyFont="1" applyBorder="1" applyAlignment="1">
      <alignment horizontal="left"/>
    </xf>
    <xf numFmtId="176" fontId="2" fillId="8" borderId="1" xfId="0" applyNumberFormat="1" applyFont="1" applyFill="1" applyBorder="1" applyAlignment="1">
      <alignment vertical="center"/>
    </xf>
    <xf numFmtId="176" fontId="2" fillId="4" borderId="1" xfId="0" applyNumberFormat="1" applyFont="1" applyFill="1" applyBorder="1"/>
    <xf numFmtId="176" fontId="2" fillId="4" borderId="1" xfId="0" applyNumberFormat="1" applyFont="1" applyFill="1" applyBorder="1" applyAlignment="1"/>
    <xf numFmtId="0" fontId="1" fillId="6" borderId="0" xfId="0" applyFont="1" applyFill="1"/>
    <xf numFmtId="176" fontId="2" fillId="6" borderId="1" xfId="0" applyNumberFormat="1" applyFont="1" applyFill="1" applyBorder="1" applyAlignment="1">
      <alignment vertical="center"/>
    </xf>
    <xf numFmtId="176" fontId="2" fillId="8" borderId="1" xfId="0" applyNumberFormat="1" applyFont="1" applyFill="1" applyBorder="1"/>
    <xf numFmtId="0" fontId="8" fillId="0" borderId="0" xfId="0" applyFont="1" applyAlignment="1"/>
    <xf numFmtId="176" fontId="9" fillId="14" borderId="5" xfId="0" applyNumberFormat="1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176" fontId="10" fillId="0" borderId="5" xfId="0" applyNumberFormat="1" applyFont="1" applyBorder="1" applyAlignment="1">
      <alignment horizontal="right"/>
    </xf>
    <xf numFmtId="176" fontId="11" fillId="0" borderId="1" xfId="0" applyNumberFormat="1" applyFont="1" applyBorder="1"/>
    <xf numFmtId="176" fontId="10" fillId="0" borderId="5" xfId="0" applyNumberFormat="1" applyFont="1" applyBorder="1" applyAlignment="1">
      <alignment horizontal="right"/>
    </xf>
    <xf numFmtId="176" fontId="10" fillId="6" borderId="8" xfId="0" applyNumberFormat="1" applyFont="1" applyFill="1" applyBorder="1" applyAlignment="1">
      <alignment horizontal="right"/>
    </xf>
    <xf numFmtId="176" fontId="10" fillId="6" borderId="1" xfId="0" applyNumberFormat="1" applyFont="1" applyFill="1" applyBorder="1" applyAlignment="1">
      <alignment horizontal="right"/>
    </xf>
    <xf numFmtId="176" fontId="9" fillId="15" borderId="8" xfId="0" applyNumberFormat="1" applyFont="1" applyFill="1" applyBorder="1" applyAlignment="1">
      <alignment horizontal="right"/>
    </xf>
    <xf numFmtId="176" fontId="9" fillId="15" borderId="8" xfId="0" applyNumberFormat="1" applyFont="1" applyFill="1" applyBorder="1" applyAlignment="1">
      <alignment horizontal="right"/>
    </xf>
    <xf numFmtId="176" fontId="9" fillId="8" borderId="8" xfId="0" applyNumberFormat="1" applyFont="1" applyFill="1" applyBorder="1" applyAlignment="1">
      <alignment horizontal="right"/>
    </xf>
    <xf numFmtId="10" fontId="9" fillId="9" borderId="8" xfId="0" applyNumberFormat="1" applyFont="1" applyFill="1" applyBorder="1" applyAlignment="1">
      <alignment horizontal="right"/>
    </xf>
    <xf numFmtId="176" fontId="10" fillId="0" borderId="8" xfId="0" applyNumberFormat="1" applyFont="1" applyBorder="1" applyAlignment="1">
      <alignment horizontal="right"/>
    </xf>
    <xf numFmtId="176" fontId="10" fillId="0" borderId="1" xfId="0" applyNumberFormat="1" applyFont="1" applyBorder="1" applyAlignment="1">
      <alignment horizontal="right"/>
    </xf>
    <xf numFmtId="176" fontId="9" fillId="6" borderId="1" xfId="0" applyNumberFormat="1" applyFont="1" applyFill="1" applyBorder="1" applyAlignment="1">
      <alignment horizontal="right"/>
    </xf>
    <xf numFmtId="176" fontId="9" fillId="0" borderId="1" xfId="0" applyNumberFormat="1" applyFont="1" applyBorder="1" applyAlignment="1">
      <alignment horizontal="right"/>
    </xf>
    <xf numFmtId="176" fontId="10" fillId="0" borderId="8" xfId="0" applyNumberFormat="1" applyFont="1" applyBorder="1" applyAlignment="1">
      <alignment horizontal="right"/>
    </xf>
    <xf numFmtId="176" fontId="10" fillId="6" borderId="8" xfId="0" applyNumberFormat="1" applyFont="1" applyFill="1" applyBorder="1" applyAlignment="1">
      <alignment horizontal="right"/>
    </xf>
    <xf numFmtId="0" fontId="9" fillId="6" borderId="9" xfId="0" applyFont="1" applyFill="1" applyBorder="1" applyAlignment="1">
      <alignment horizontal="center"/>
    </xf>
    <xf numFmtId="176" fontId="11" fillId="6" borderId="1" xfId="0" applyNumberFormat="1" applyFont="1" applyFill="1" applyBorder="1"/>
    <xf numFmtId="176" fontId="12" fillId="6" borderId="8" xfId="0" applyNumberFormat="1" applyFont="1" applyFill="1" applyBorder="1" applyAlignment="1">
      <alignment horizontal="right"/>
    </xf>
    <xf numFmtId="176" fontId="12" fillId="6" borderId="8" xfId="0" applyNumberFormat="1" applyFont="1" applyFill="1" applyBorder="1" applyAlignment="1">
      <alignment horizontal="right"/>
    </xf>
    <xf numFmtId="176" fontId="12" fillId="6" borderId="1" xfId="0" applyNumberFormat="1" applyFont="1" applyFill="1" applyBorder="1" applyAlignment="1">
      <alignment horizontal="right"/>
    </xf>
    <xf numFmtId="10" fontId="12" fillId="6" borderId="1" xfId="0" applyNumberFormat="1" applyFont="1" applyFill="1" applyBorder="1" applyAlignment="1">
      <alignment horizontal="right"/>
    </xf>
    <xf numFmtId="176" fontId="12" fillId="10" borderId="1" xfId="0" applyNumberFormat="1" applyFont="1" applyFill="1" applyBorder="1" applyAlignment="1">
      <alignment horizontal="right"/>
    </xf>
    <xf numFmtId="10" fontId="12" fillId="16" borderId="1" xfId="0" applyNumberFormat="1" applyFont="1" applyFill="1" applyBorder="1" applyAlignment="1">
      <alignment horizontal="right"/>
    </xf>
    <xf numFmtId="3" fontId="13" fillId="0" borderId="12" xfId="0" applyNumberFormat="1" applyFont="1" applyBorder="1" applyAlignment="1">
      <alignment horizontal="right" wrapText="1"/>
    </xf>
    <xf numFmtId="3" fontId="16" fillId="17" borderId="13" xfId="0" applyNumberFormat="1" applyFont="1" applyFill="1" applyBorder="1" applyAlignment="1">
      <alignment horizontal="right" wrapText="1"/>
    </xf>
    <xf numFmtId="3" fontId="16" fillId="18" borderId="13" xfId="0" applyNumberFormat="1" applyFont="1" applyFill="1" applyBorder="1" applyAlignment="1">
      <alignment horizontal="right" wrapText="1"/>
    </xf>
    <xf numFmtId="10" fontId="16" fillId="19" borderId="13" xfId="0" applyNumberFormat="1" applyFont="1" applyFill="1" applyBorder="1" applyAlignment="1">
      <alignment horizontal="right" wrapText="1"/>
    </xf>
    <xf numFmtId="3" fontId="13" fillId="0" borderId="13" xfId="0" applyNumberFormat="1" applyFont="1" applyBorder="1" applyAlignment="1">
      <alignment horizontal="right" wrapText="1"/>
    </xf>
    <xf numFmtId="3" fontId="17" fillId="20" borderId="13" xfId="0" applyNumberFormat="1" applyFont="1" applyFill="1" applyBorder="1" applyAlignment="1">
      <alignment horizontal="right" wrapText="1"/>
    </xf>
    <xf numFmtId="10" fontId="17" fillId="21" borderId="13" xfId="0" applyNumberFormat="1" applyFont="1" applyFill="1" applyBorder="1" applyAlignment="1">
      <alignment horizontal="right" wrapText="1"/>
    </xf>
    <xf numFmtId="176" fontId="11" fillId="6" borderId="10" xfId="0" applyNumberFormat="1" applyFont="1" applyFill="1" applyBorder="1"/>
    <xf numFmtId="176" fontId="10" fillId="6" borderId="10" xfId="0" applyNumberFormat="1" applyFont="1" applyFill="1" applyBorder="1" applyAlignment="1">
      <alignment horizontal="right"/>
    </xf>
    <xf numFmtId="176" fontId="12" fillId="16" borderId="10" xfId="0" applyNumberFormat="1" applyFont="1" applyFill="1" applyBorder="1" applyAlignment="1">
      <alignment horizontal="center"/>
    </xf>
    <xf numFmtId="10" fontId="12" fillId="16" borderId="10" xfId="0" applyNumberFormat="1" applyFont="1" applyFill="1" applyBorder="1" applyAlignment="1">
      <alignment horizontal="right"/>
    </xf>
    <xf numFmtId="0" fontId="9" fillId="6" borderId="11" xfId="0" applyFont="1" applyFill="1" applyBorder="1" applyAlignment="1">
      <alignment horizontal="center"/>
    </xf>
    <xf numFmtId="0" fontId="9" fillId="6" borderId="1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4" fillId="0" borderId="9" xfId="0" applyFont="1" applyBorder="1"/>
    <xf numFmtId="0" fontId="2" fillId="3" borderId="3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Border="1"/>
    <xf numFmtId="0" fontId="5" fillId="4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0" borderId="7" xfId="0" applyFont="1" applyBorder="1"/>
    <xf numFmtId="0" fontId="2" fillId="0" borderId="2" xfId="0" applyFont="1" applyBorder="1" applyAlignment="1">
      <alignment horizontal="center" vertical="center"/>
    </xf>
    <xf numFmtId="0" fontId="12" fillId="16" borderId="14" xfId="0" applyFont="1" applyFill="1" applyBorder="1" applyAlignment="1">
      <alignment horizontal="center"/>
    </xf>
    <xf numFmtId="0" fontId="4" fillId="0" borderId="14" xfId="0" applyFont="1" applyBorder="1"/>
    <xf numFmtId="0" fontId="9" fillId="0" borderId="7" xfId="0" applyFont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4" fillId="0" borderId="11" xfId="0" applyFont="1" applyBorder="1"/>
    <xf numFmtId="0" fontId="9" fillId="6" borderId="14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4" fillId="0" borderId="8" xfId="0" applyFont="1" applyBorder="1"/>
    <xf numFmtId="0" fontId="15" fillId="2" borderId="6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tiremoni.smbridge.cc/simulators/etf-screener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2:I55"/>
  <sheetViews>
    <sheetView workbookViewId="0"/>
  </sheetViews>
  <sheetFormatPr defaultColWidth="12.6640625" defaultRowHeight="15.75" customHeight="1"/>
  <cols>
    <col min="1" max="1" width="9.21875" customWidth="1"/>
    <col min="2" max="2" width="18.21875" customWidth="1"/>
    <col min="3" max="3" width="19.21875" customWidth="1"/>
    <col min="4" max="4" width="16.6640625" customWidth="1"/>
    <col min="5" max="5" width="17.33203125" customWidth="1"/>
    <col min="6" max="6" width="16" customWidth="1"/>
    <col min="7" max="7" width="18.44140625" customWidth="1"/>
    <col min="8" max="8" width="16.109375" customWidth="1"/>
    <col min="9" max="9" width="16.21875" customWidth="1"/>
  </cols>
  <sheetData>
    <row r="2" spans="2:9" ht="17.399999999999999"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 t="s">
        <v>6</v>
      </c>
      <c r="H2" s="2" t="s">
        <v>7</v>
      </c>
      <c r="I2" s="2" t="s">
        <v>8</v>
      </c>
    </row>
    <row r="3" spans="2:9" ht="15.75" customHeight="1">
      <c r="B3" s="3" t="s">
        <v>9</v>
      </c>
      <c r="C3" s="6">
        <f>D52</f>
        <v>329138917</v>
      </c>
      <c r="D3" s="6">
        <f>D39</f>
        <v>284850834</v>
      </c>
      <c r="E3" s="6">
        <f ca="1">D24</f>
        <v>314703095</v>
      </c>
      <c r="F3" s="7"/>
      <c r="G3" s="7"/>
      <c r="H3" s="7"/>
      <c r="I3" s="7"/>
    </row>
    <row r="4" spans="2:9" ht="15.75" customHeight="1">
      <c r="B4" s="3" t="s">
        <v>19</v>
      </c>
      <c r="C4" s="6">
        <f>E52</f>
        <v>512788472.17225301</v>
      </c>
      <c r="D4" s="6">
        <f>E39</f>
        <v>517456447</v>
      </c>
      <c r="E4" s="6">
        <f ca="1">E24</f>
        <v>725917739.09451008</v>
      </c>
      <c r="F4" s="7"/>
      <c r="G4" s="7"/>
      <c r="H4" s="7"/>
      <c r="I4" s="7"/>
    </row>
    <row r="5" spans="2:9" ht="15.75" customHeight="1">
      <c r="B5" s="8" t="s">
        <v>21</v>
      </c>
      <c r="C5" s="9">
        <v>183649555.17225301</v>
      </c>
      <c r="D5" s="9">
        <f t="shared" ref="D5:E5" si="0">D4-C4</f>
        <v>4667974.8277469873</v>
      </c>
      <c r="E5" s="9">
        <f t="shared" ca="1" si="0"/>
        <v>208461292.09451008</v>
      </c>
      <c r="F5" s="12"/>
      <c r="G5" s="12"/>
      <c r="H5" s="12"/>
      <c r="I5" s="12"/>
    </row>
    <row r="6" spans="2:9" ht="15.75" customHeight="1">
      <c r="B6" s="8" t="s">
        <v>24</v>
      </c>
      <c r="C6" s="15">
        <f>G52</f>
        <v>0.55796973766020208</v>
      </c>
      <c r="D6" s="15">
        <f t="shared" ref="D6:E6" si="1">(D4-C4)/C4</f>
        <v>9.1031196703247018E-3</v>
      </c>
      <c r="E6" s="15">
        <f t="shared" ca="1" si="1"/>
        <v>0.40285765749578162</v>
      </c>
      <c r="F6" s="12"/>
      <c r="G6" s="12"/>
      <c r="H6" s="12"/>
      <c r="I6" s="12"/>
    </row>
    <row r="7" spans="2:9" ht="15.75" customHeight="1">
      <c r="B7" s="21" t="s">
        <v>27</v>
      </c>
      <c r="C7" s="24">
        <f t="shared" ref="C7:E7" si="2">C4-C3</f>
        <v>183649555.17225301</v>
      </c>
      <c r="D7" s="24">
        <f t="shared" si="2"/>
        <v>232605613</v>
      </c>
      <c r="E7" s="24">
        <f t="shared" ca="1" si="2"/>
        <v>411214644.09451008</v>
      </c>
      <c r="F7" s="25"/>
      <c r="G7" s="25"/>
      <c r="H7" s="25"/>
      <c r="I7" s="25"/>
    </row>
    <row r="8" spans="2:9" ht="15.75" customHeight="1">
      <c r="B8" s="21" t="s">
        <v>28</v>
      </c>
      <c r="C8" s="27">
        <f>G52</f>
        <v>0.55796973766020208</v>
      </c>
      <c r="D8" s="27">
        <f>G39</f>
        <v>0.8092924277694058</v>
      </c>
      <c r="E8" s="27">
        <f ca="1">G24</f>
        <v>1.3063663623516317</v>
      </c>
      <c r="F8" s="28"/>
      <c r="G8" s="28"/>
      <c r="H8" s="28"/>
      <c r="I8" s="28"/>
    </row>
    <row r="9" spans="2:9" ht="15.75" customHeight="1">
      <c r="B9" s="29"/>
    </row>
    <row r="10" spans="2:9" ht="15.75" customHeight="1">
      <c r="B10" s="29"/>
    </row>
    <row r="11" spans="2:9" ht="15.75" customHeight="1">
      <c r="B11" s="29" t="s">
        <v>29</v>
      </c>
    </row>
    <row r="12" spans="2:9" ht="17.399999999999999">
      <c r="B12" s="85" t="s">
        <v>0</v>
      </c>
      <c r="C12" s="85" t="s">
        <v>4</v>
      </c>
      <c r="D12" s="87" t="s">
        <v>3</v>
      </c>
      <c r="E12" s="88"/>
      <c r="F12" s="88"/>
      <c r="G12" s="89"/>
    </row>
    <row r="13" spans="2:9" ht="15.75" customHeight="1">
      <c r="B13" s="86"/>
      <c r="C13" s="86"/>
      <c r="D13" s="31" t="s">
        <v>32</v>
      </c>
      <c r="E13" s="14" t="s">
        <v>33</v>
      </c>
      <c r="F13" s="14" t="s">
        <v>22</v>
      </c>
      <c r="G13" s="14" t="s">
        <v>23</v>
      </c>
    </row>
    <row r="14" spans="2:9" ht="15.75" customHeight="1">
      <c r="B14" s="16" t="s">
        <v>25</v>
      </c>
      <c r="C14" s="17" t="s">
        <v>26</v>
      </c>
      <c r="D14" s="18">
        <f ca="1">IFERROR(__xludf.DUMMYFUNCTION("IMPORTRANGE(""https://docs.google.com/spreadsheets/d/18m7_5Vy-SocSuBMtXmritoiWfMy_VSJ0LqQCfdmFyYU/edit?usp=sharing"",""'1.자산투자(원금)'!Q6"")"),114094104)</f>
        <v>114094104</v>
      </c>
      <c r="E14" s="18">
        <f ca="1">IFERROR(__xludf.DUMMYFUNCTION("IMPORTRANGE(""1ZroPOkUSwNqHiVWENaoVxlR6AK-AlBV3axVBscxZgRA/edit?gid=1035245516"",""'1.투자 현황(현재)'!M16"")"),268474060)</f>
        <v>268474060</v>
      </c>
      <c r="F14" s="19">
        <f t="shared" ref="F14:F20" ca="1" si="3">E14-D14</f>
        <v>154379956</v>
      </c>
      <c r="G14" s="20">
        <f t="shared" ref="G14:G24" ca="1" si="4">(F14)/D14</f>
        <v>1.3530931975240368</v>
      </c>
    </row>
    <row r="15" spans="2:9" ht="15.75" customHeight="1">
      <c r="B15" s="16" t="s">
        <v>30</v>
      </c>
      <c r="C15" s="17" t="s">
        <v>31</v>
      </c>
      <c r="D15" s="18">
        <f ca="1">IFERROR(__xludf.DUMMYFUNCTION("IMPORTRANGE(""https://docs.google.com/spreadsheets/d/18m7_5Vy-SocSuBMtXmritoiWfMy_VSJ0LqQCfdmFyYU/edit?usp=sharing"",""'1.자산투자(원금)'!Q7"")"),16711196)</f>
        <v>16711196</v>
      </c>
      <c r="E15" s="18">
        <f ca="1">IFERROR(__xludf.DUMMYFUNCTION("IMPORTRANGE(""1ZroPOkUSwNqHiVWENaoVxlR6AK-AlBV3axVBscxZgRA/edit?gid=1035245516"",""'1.투자 현황(현재)'!M29"")"),54607760)</f>
        <v>54607760</v>
      </c>
      <c r="F15" s="19">
        <f t="shared" ca="1" si="3"/>
        <v>37896564</v>
      </c>
      <c r="G15" s="20">
        <f t="shared" ca="1" si="4"/>
        <v>2.2677349963461624</v>
      </c>
    </row>
    <row r="16" spans="2:9" ht="15.75" customHeight="1">
      <c r="B16" s="16" t="s">
        <v>34</v>
      </c>
      <c r="C16" s="17" t="s">
        <v>35</v>
      </c>
      <c r="D16" s="18">
        <f ca="1">IFERROR(__xludf.DUMMYFUNCTION("IMPORTRANGE(""https://docs.google.com/spreadsheets/d/18m7_5Vy-SocSuBMtXmritoiWfMy_VSJ0LqQCfdmFyYU/edit?usp=sharing"",""'1.자산투자(원금)'!Q8"")"),15690000)</f>
        <v>15690000</v>
      </c>
      <c r="E16" s="18">
        <f ca="1">IFERROR(__xludf.DUMMYFUNCTION("IMPORTRANGE(""1ZroPOkUSwNqHiVWENaoVxlR6AK-AlBV3axVBscxZgRA/edit?gid=1035245516"",""'1.투자 현황(현재)'!M42"")"),30621885)</f>
        <v>30621885</v>
      </c>
      <c r="F16" s="19">
        <f t="shared" ca="1" si="3"/>
        <v>14931885</v>
      </c>
      <c r="G16" s="20">
        <f t="shared" ca="1" si="4"/>
        <v>0.95168164435946467</v>
      </c>
    </row>
    <row r="17" spans="2:7" ht="15.75" customHeight="1">
      <c r="B17" s="16" t="s">
        <v>36</v>
      </c>
      <c r="C17" s="17" t="s">
        <v>37</v>
      </c>
      <c r="D17" s="18">
        <f ca="1">IFERROR(__xludf.DUMMYFUNCTION("IMPORTRANGE(""https://docs.google.com/spreadsheets/d/18m7_5Vy-SocSuBMtXmritoiWfMy_VSJ0LqQCfdmFyYU/edit?usp=sharing"",""'1.자산투자(원금)'!Q9"")"),51684545)</f>
        <v>51684545</v>
      </c>
      <c r="E17" s="18">
        <f ca="1">IFERROR(__xludf.DUMMYFUNCTION("IMPORTRANGE(""1ZroPOkUSwNqHiVWENaoVxlR6AK-AlBV3axVBscxZgRA/edit?gid=1035245516"",""'1.투자 현황(현재)'!M53"")"),100591070)</f>
        <v>100591070</v>
      </c>
      <c r="F17" s="19">
        <f t="shared" ca="1" si="3"/>
        <v>48906525</v>
      </c>
      <c r="G17" s="20">
        <f t="shared" ca="1" si="4"/>
        <v>0.94625047003896423</v>
      </c>
    </row>
    <row r="18" spans="2:7" ht="15.75" customHeight="1">
      <c r="B18" s="16" t="s">
        <v>38</v>
      </c>
      <c r="C18" s="17" t="s">
        <v>39</v>
      </c>
      <c r="D18" s="18">
        <f ca="1">IFERROR(__xludf.DUMMYFUNCTION("IMPORTRANGE(""https://docs.google.com/spreadsheets/d/18m7_5Vy-SocSuBMtXmritoiWfMy_VSJ0LqQCfdmFyYU/edit?usp=sharing"",""'1.자산투자(원금)'!Q10"")"),40710000)</f>
        <v>40710000</v>
      </c>
      <c r="E18" s="18">
        <f ca="1">IFERROR(__xludf.DUMMYFUNCTION("IMPORTRANGE(""1ZroPOkUSwNqHiVWENaoVxlR6AK-AlBV3axVBscxZgRA/edit?gid=1035245516"",""'1.투자 현황(현재)'!M115"")"),61025350)</f>
        <v>61025350</v>
      </c>
      <c r="F18" s="19">
        <f t="shared" ca="1" si="3"/>
        <v>20315350</v>
      </c>
      <c r="G18" s="20">
        <f t="shared" ca="1" si="4"/>
        <v>0.49902603782854338</v>
      </c>
    </row>
    <row r="19" spans="2:7" ht="15.75" customHeight="1">
      <c r="B19" s="33" t="s">
        <v>40</v>
      </c>
      <c r="C19" s="34" t="s">
        <v>41</v>
      </c>
      <c r="D19" s="18">
        <f ca="1">IFERROR(__xludf.DUMMYFUNCTION("IMPORTRANGE(""https://docs.google.com/spreadsheets/d/18m7_5Vy-SocSuBMtXmritoiWfMy_VSJ0LqQCfdmFyYU/edit?usp=sharing"",""'1.자산투자(원금)'!Q14"")"),11629532)</f>
        <v>11629532</v>
      </c>
      <c r="E19" s="18">
        <f ca="1">IFERROR(__xludf.DUMMYFUNCTION("IMPORTRANGE(""1ZroPOkUSwNqHiVWENaoVxlR6AK-AlBV3axVBscxZgRA/edit?gid=1035245516"",""'1.투자 현황(현재)'!M76"")"),24403300)</f>
        <v>24403300</v>
      </c>
      <c r="F19" s="19">
        <f t="shared" ca="1" si="3"/>
        <v>12773768</v>
      </c>
      <c r="G19" s="20">
        <f t="shared" ca="1" si="4"/>
        <v>1.0983905457244538</v>
      </c>
    </row>
    <row r="20" spans="2:7" ht="15.75" customHeight="1">
      <c r="B20" s="33" t="s">
        <v>42</v>
      </c>
      <c r="C20" s="17" t="s">
        <v>43</v>
      </c>
      <c r="D20" s="18">
        <f ca="1">IFERROR(__xludf.DUMMYFUNCTION("IMPORTRANGE(""https://docs.google.com/spreadsheets/d/18m7_5Vy-SocSuBMtXmritoiWfMy_VSJ0LqQCfdmFyYU/edit?usp=sharing"",""'1.자산투자(원금)'!Q11"")"),5000000)</f>
        <v>5000000</v>
      </c>
      <c r="E20" s="18">
        <f ca="1">IFERROR(__xludf.DUMMYFUNCTION("IMPORTRANGE(""1ZroPOkUSwNqHiVWENaoVxlR6AK-AlBV3axVBscxZgRA/edit?gid=1035245516"",""'1.투자 현황(현재)'!M85"")"),22708542.43595)</f>
        <v>22708542.43595</v>
      </c>
      <c r="F20" s="19">
        <f t="shared" ca="1" si="3"/>
        <v>17708542.43595</v>
      </c>
      <c r="G20" s="20">
        <f t="shared" ca="1" si="4"/>
        <v>3.5417084871899998</v>
      </c>
    </row>
    <row r="21" spans="2:7" ht="15.75" customHeight="1">
      <c r="B21" s="35" t="s">
        <v>44</v>
      </c>
      <c r="C21" s="36" t="s">
        <v>45</v>
      </c>
      <c r="D21" s="18">
        <f ca="1">IFERROR(__xludf.DUMMYFUNCTION("IMPORTRANGE(""https://docs.google.com/spreadsheets/d/18m7_5Vy-SocSuBMtXmritoiWfMy_VSJ0LqQCfdmFyYU/edit?usp=sharing"",""'1.자산투자(원금)'!Q12"")"),30000)</f>
        <v>30000</v>
      </c>
      <c r="E21" s="18">
        <f ca="1">IFERROR(__xludf.DUMMYFUNCTION("IMPORTRANGE(""1ZroPOkUSwNqHiVWENaoVxlR6AK-AlBV3axVBscxZgRA/edit?gid=1035245516"",""'1.투자 현황(현재)'!M95"")"),127106.65856)</f>
        <v>127106.65856</v>
      </c>
      <c r="F21" s="38"/>
      <c r="G21" s="20">
        <f t="shared" ca="1" si="4"/>
        <v>0</v>
      </c>
    </row>
    <row r="22" spans="2:7" ht="15.75" customHeight="1">
      <c r="B22" s="37" t="s">
        <v>46</v>
      </c>
      <c r="C22" s="36" t="s">
        <v>47</v>
      </c>
      <c r="D22" s="18">
        <f ca="1">IFERROR(__xludf.DUMMYFUNCTION("IMPORTRANGE(""https://docs.google.com/spreadsheets/d/18m7_5Vy-SocSuBMtXmritoiWfMy_VSJ0LqQCfdmFyYU/edit?usp=sharing"",""'1.자산투자(원금)'!Q13"")"),2750000)</f>
        <v>2750000</v>
      </c>
      <c r="E22" s="18">
        <f ca="1">IFERROR(__xludf.DUMMYFUNCTION("IMPORTRANGE(""1ZroPOkUSwNqHiVWENaoVxlR6AK-AlBV3axVBscxZgRA/edit?gid=1035245516"",""'1.투자 현황(현재)'!M66"")"),3648190)</f>
        <v>3648190</v>
      </c>
      <c r="F22" s="19">
        <f t="shared" ref="F22:F23" ca="1" si="5">E22-D22</f>
        <v>898190</v>
      </c>
      <c r="G22" s="20">
        <f t="shared" ca="1" si="4"/>
        <v>0.32661454545454544</v>
      </c>
    </row>
    <row r="23" spans="2:7" ht="15.75" customHeight="1">
      <c r="B23" s="37" t="s">
        <v>48</v>
      </c>
      <c r="C23" s="39" t="s">
        <v>49</v>
      </c>
      <c r="D23" s="18">
        <f ca="1">IFERROR(__xludf.DUMMYFUNCTION("IMPORTRANGE(""https://docs.google.com/spreadsheets/d/18m7_5Vy-SocSuBMtXmritoiWfMy_VSJ0LqQCfdmFyYU/edit?usp=sharing"",""'1.자산투자(원금)'!Q15"")"),56403718)</f>
        <v>56403718</v>
      </c>
      <c r="E23" s="18">
        <f ca="1">IFERROR(__xludf.DUMMYFUNCTION("IMPORTRANGE(""1ZroPOkUSwNqHiVWENaoVxlR6AK-AlBV3axVBscxZgRA/edit?gid=1035245516"",""'1.투자 현황(현재)'!M105"")"),159710475)</f>
        <v>159710475</v>
      </c>
      <c r="F23" s="19">
        <f t="shared" ca="1" si="5"/>
        <v>103306757</v>
      </c>
      <c r="G23" s="20">
        <f t="shared" ca="1" si="4"/>
        <v>1.8315593486230819</v>
      </c>
    </row>
    <row r="24" spans="2:7" ht="15.75" customHeight="1">
      <c r="B24" s="90" t="s">
        <v>50</v>
      </c>
      <c r="C24" s="88"/>
      <c r="D24" s="40">
        <f t="shared" ref="D24:F24" ca="1" si="6">SUM(D14:D23)</f>
        <v>314703095</v>
      </c>
      <c r="E24" s="40">
        <f t="shared" ca="1" si="6"/>
        <v>725917739.09451008</v>
      </c>
      <c r="F24" s="40">
        <f t="shared" ca="1" si="6"/>
        <v>411117537.43594998</v>
      </c>
      <c r="G24" s="23">
        <f t="shared" ca="1" si="4"/>
        <v>1.3063663623516317</v>
      </c>
    </row>
    <row r="27" spans="2:7" ht="15.75" customHeight="1">
      <c r="B27" s="29" t="s">
        <v>51</v>
      </c>
    </row>
    <row r="28" spans="2:7" ht="17.399999999999999">
      <c r="B28" s="85" t="s">
        <v>0</v>
      </c>
      <c r="C28" s="85" t="s">
        <v>4</v>
      </c>
      <c r="D28" s="87" t="s">
        <v>2</v>
      </c>
      <c r="E28" s="88"/>
      <c r="F28" s="88"/>
      <c r="G28" s="89"/>
    </row>
    <row r="29" spans="2:7" ht="15.75" customHeight="1">
      <c r="B29" s="86"/>
      <c r="C29" s="86"/>
      <c r="D29" s="31" t="s">
        <v>32</v>
      </c>
      <c r="E29" s="14" t="s">
        <v>33</v>
      </c>
      <c r="F29" s="14" t="s">
        <v>22</v>
      </c>
      <c r="G29" s="14" t="s">
        <v>23</v>
      </c>
    </row>
    <row r="30" spans="2:7" ht="15.75" customHeight="1">
      <c r="B30" s="16" t="s">
        <v>25</v>
      </c>
      <c r="C30" s="17" t="s">
        <v>26</v>
      </c>
      <c r="D30" s="41">
        <v>113202004</v>
      </c>
      <c r="E30" s="18">
        <v>165702475</v>
      </c>
      <c r="F30" s="19">
        <f t="shared" ref="F30:F38" si="7">E30-D30</f>
        <v>52500471</v>
      </c>
      <c r="G30" s="20">
        <f t="shared" ref="G30:G39" si="8">(F30)/D30</f>
        <v>0.46377686917980709</v>
      </c>
    </row>
    <row r="31" spans="2:7" ht="15.75" customHeight="1">
      <c r="B31" s="16" t="s">
        <v>30</v>
      </c>
      <c r="C31" s="17" t="s">
        <v>31</v>
      </c>
      <c r="D31" s="41">
        <v>16391196</v>
      </c>
      <c r="E31" s="18">
        <v>31494660</v>
      </c>
      <c r="F31" s="19">
        <f t="shared" si="7"/>
        <v>15103464</v>
      </c>
      <c r="G31" s="20">
        <f t="shared" si="8"/>
        <v>0.92143758149191801</v>
      </c>
    </row>
    <row r="32" spans="2:7" ht="15.75" customHeight="1">
      <c r="B32" s="16" t="s">
        <v>34</v>
      </c>
      <c r="C32" s="17" t="s">
        <v>35</v>
      </c>
      <c r="D32" s="41">
        <v>12050000</v>
      </c>
      <c r="E32" s="18">
        <v>14132025</v>
      </c>
      <c r="F32" s="19">
        <f t="shared" si="7"/>
        <v>2082025</v>
      </c>
      <c r="G32" s="20">
        <f t="shared" si="8"/>
        <v>0.17278215767634855</v>
      </c>
    </row>
    <row r="33" spans="2:7" ht="17.399999999999999">
      <c r="B33" s="16" t="s">
        <v>36</v>
      </c>
      <c r="C33" s="17" t="s">
        <v>37</v>
      </c>
      <c r="D33" s="41">
        <v>42040249</v>
      </c>
      <c r="E33" s="18">
        <v>54571615</v>
      </c>
      <c r="F33" s="19">
        <f t="shared" si="7"/>
        <v>12531366</v>
      </c>
      <c r="G33" s="20">
        <f t="shared" si="8"/>
        <v>0.29808020404446223</v>
      </c>
    </row>
    <row r="34" spans="2:7" ht="17.399999999999999">
      <c r="B34" s="16" t="s">
        <v>38</v>
      </c>
      <c r="C34" s="17" t="s">
        <v>39</v>
      </c>
      <c r="D34" s="41">
        <v>500000</v>
      </c>
      <c r="E34" s="18">
        <v>944850</v>
      </c>
      <c r="F34" s="19">
        <f t="shared" si="7"/>
        <v>444850</v>
      </c>
      <c r="G34" s="20">
        <f t="shared" si="8"/>
        <v>0.88970000000000005</v>
      </c>
    </row>
    <row r="35" spans="2:7" ht="17.399999999999999">
      <c r="B35" s="33" t="s">
        <v>52</v>
      </c>
      <c r="C35" s="34" t="s">
        <v>41</v>
      </c>
      <c r="D35" s="42">
        <v>1077990</v>
      </c>
      <c r="E35" s="18">
        <v>1708983</v>
      </c>
      <c r="F35" s="19">
        <f t="shared" si="7"/>
        <v>630993</v>
      </c>
      <c r="G35" s="20">
        <f t="shared" si="8"/>
        <v>0.58534216458408705</v>
      </c>
    </row>
    <row r="36" spans="2:7" ht="17.399999999999999">
      <c r="B36" s="33" t="s">
        <v>42</v>
      </c>
      <c r="C36" s="17" t="s">
        <v>43</v>
      </c>
      <c r="D36" s="41">
        <v>15813667</v>
      </c>
      <c r="E36" s="18">
        <v>49301247</v>
      </c>
      <c r="F36" s="19">
        <f t="shared" si="7"/>
        <v>33487580</v>
      </c>
      <c r="G36" s="20">
        <f t="shared" si="8"/>
        <v>2.1176353340436473</v>
      </c>
    </row>
    <row r="37" spans="2:7" ht="17.399999999999999">
      <c r="B37" s="35" t="s">
        <v>44</v>
      </c>
      <c r="C37" s="36" t="s">
        <v>45</v>
      </c>
      <c r="D37" s="41">
        <v>84853718</v>
      </c>
      <c r="E37" s="18">
        <v>198431252</v>
      </c>
      <c r="F37" s="19">
        <f t="shared" si="7"/>
        <v>113577534</v>
      </c>
      <c r="G37" s="20">
        <f t="shared" si="8"/>
        <v>1.3385098104952808</v>
      </c>
    </row>
    <row r="38" spans="2:7" ht="17.399999999999999">
      <c r="B38" s="37" t="s">
        <v>46</v>
      </c>
      <c r="C38" s="36" t="s">
        <v>47</v>
      </c>
      <c r="D38" s="41">
        <v>1000000</v>
      </c>
      <c r="E38" s="18">
        <v>1169340</v>
      </c>
      <c r="F38" s="19">
        <f t="shared" si="7"/>
        <v>169340</v>
      </c>
      <c r="G38" s="20">
        <f t="shared" si="8"/>
        <v>0.16933999999999999</v>
      </c>
    </row>
    <row r="39" spans="2:7" ht="19.2">
      <c r="B39" s="90" t="s">
        <v>50</v>
      </c>
      <c r="C39" s="88"/>
      <c r="D39" s="40">
        <v>284850834</v>
      </c>
      <c r="E39" s="40">
        <f t="shared" ref="E39:F39" si="9">SUM(E30:E38)</f>
        <v>517456447</v>
      </c>
      <c r="F39" s="45">
        <f t="shared" si="9"/>
        <v>230527623</v>
      </c>
      <c r="G39" s="23">
        <f t="shared" si="8"/>
        <v>0.8092924277694058</v>
      </c>
    </row>
    <row r="42" spans="2:7" ht="15.6">
      <c r="B42" s="29" t="s">
        <v>54</v>
      </c>
    </row>
    <row r="43" spans="2:7" ht="17.399999999999999">
      <c r="B43" s="85" t="s">
        <v>0</v>
      </c>
      <c r="C43" s="85" t="s">
        <v>4</v>
      </c>
      <c r="D43" s="87" t="s">
        <v>1</v>
      </c>
      <c r="E43" s="88"/>
      <c r="F43" s="88"/>
      <c r="G43" s="89"/>
    </row>
    <row r="44" spans="2:7" ht="17.399999999999999">
      <c r="B44" s="86"/>
      <c r="C44" s="86"/>
      <c r="D44" s="31" t="s">
        <v>32</v>
      </c>
      <c r="E44" s="14" t="s">
        <v>33</v>
      </c>
      <c r="F44" s="14" t="s">
        <v>22</v>
      </c>
      <c r="G44" s="14" t="s">
        <v>23</v>
      </c>
    </row>
    <row r="45" spans="2:7" ht="17.399999999999999">
      <c r="B45" s="16" t="s">
        <v>25</v>
      </c>
      <c r="C45" s="17" t="s">
        <v>26</v>
      </c>
      <c r="D45" s="19">
        <v>112452004</v>
      </c>
      <c r="E45" s="18">
        <v>160777630</v>
      </c>
      <c r="F45" s="19">
        <f t="shared" ref="F45:F52" si="10">E45-D45</f>
        <v>48325626</v>
      </c>
      <c r="G45" s="20">
        <f t="shared" ref="G45:G52" si="11">(F45)/D45</f>
        <v>0.42974446235746944</v>
      </c>
    </row>
    <row r="46" spans="2:7" ht="17.399999999999999">
      <c r="B46" s="16" t="s">
        <v>30</v>
      </c>
      <c r="C46" s="17" t="s">
        <v>31</v>
      </c>
      <c r="D46" s="19">
        <v>24491196</v>
      </c>
      <c r="E46" s="18">
        <v>36126130</v>
      </c>
      <c r="F46" s="19">
        <f t="shared" si="10"/>
        <v>11634934</v>
      </c>
      <c r="G46" s="20">
        <f t="shared" si="11"/>
        <v>0.47506597881132467</v>
      </c>
    </row>
    <row r="47" spans="2:7" ht="17.399999999999999">
      <c r="B47" s="16" t="s">
        <v>34</v>
      </c>
      <c r="C47" s="17" t="s">
        <v>35</v>
      </c>
      <c r="D47" s="19">
        <v>6050000</v>
      </c>
      <c r="E47" s="18">
        <v>6872315</v>
      </c>
      <c r="F47" s="19">
        <f t="shared" si="10"/>
        <v>822315</v>
      </c>
      <c r="G47" s="20">
        <f t="shared" si="11"/>
        <v>0.13591983471074381</v>
      </c>
    </row>
    <row r="48" spans="2:7" ht="17.399999999999999">
      <c r="B48" s="16" t="s">
        <v>36</v>
      </c>
      <c r="C48" s="17" t="s">
        <v>37</v>
      </c>
      <c r="D48" s="19">
        <v>42040249</v>
      </c>
      <c r="E48" s="18">
        <v>52322500</v>
      </c>
      <c r="F48" s="19">
        <f t="shared" si="10"/>
        <v>10282251</v>
      </c>
      <c r="G48" s="20">
        <f t="shared" si="11"/>
        <v>0.24458111558758847</v>
      </c>
    </row>
    <row r="49" spans="2:7" ht="17.399999999999999">
      <c r="B49" s="16" t="s">
        <v>38</v>
      </c>
      <c r="C49" s="17" t="s">
        <v>39</v>
      </c>
      <c r="D49" s="19">
        <v>500000</v>
      </c>
      <c r="E49" s="18">
        <v>663550</v>
      </c>
      <c r="F49" s="19">
        <f t="shared" si="10"/>
        <v>163550</v>
      </c>
      <c r="G49" s="20">
        <f t="shared" si="11"/>
        <v>0.3271</v>
      </c>
    </row>
    <row r="50" spans="2:7" ht="17.399999999999999">
      <c r="B50" s="33" t="s">
        <v>42</v>
      </c>
      <c r="C50" s="17" t="s">
        <v>43</v>
      </c>
      <c r="D50" s="19">
        <v>15813667</v>
      </c>
      <c r="E50" s="18">
        <v>33048861.604811206</v>
      </c>
      <c r="F50" s="19">
        <f t="shared" si="10"/>
        <v>17235194.604811206</v>
      </c>
      <c r="G50" s="20">
        <f t="shared" si="11"/>
        <v>1.0898923446921709</v>
      </c>
    </row>
    <row r="51" spans="2:7" ht="17.399999999999999">
      <c r="B51" s="35" t="s">
        <v>44</v>
      </c>
      <c r="C51" s="36" t="s">
        <v>45</v>
      </c>
      <c r="D51" s="18">
        <v>127791801</v>
      </c>
      <c r="E51" s="18">
        <v>222977485.56744179</v>
      </c>
      <c r="F51" s="19">
        <f t="shared" si="10"/>
        <v>95185684.567441791</v>
      </c>
      <c r="G51" s="20">
        <f t="shared" si="11"/>
        <v>0.74484969945326762</v>
      </c>
    </row>
    <row r="52" spans="2:7" ht="19.2">
      <c r="B52" s="90" t="s">
        <v>50</v>
      </c>
      <c r="C52" s="88"/>
      <c r="D52" s="40">
        <f t="shared" ref="D52:E52" si="12">SUM(D45:D51)</f>
        <v>329138917</v>
      </c>
      <c r="E52" s="40">
        <f t="shared" si="12"/>
        <v>512788472.17225301</v>
      </c>
      <c r="F52" s="45">
        <f t="shared" si="10"/>
        <v>183649555.17225301</v>
      </c>
      <c r="G52" s="23">
        <f t="shared" si="11"/>
        <v>0.55796973766020208</v>
      </c>
    </row>
    <row r="55" spans="2:7" ht="13.2">
      <c r="B55" s="46" t="s">
        <v>56</v>
      </c>
    </row>
  </sheetData>
  <mergeCells count="12">
    <mergeCell ref="B39:C39"/>
    <mergeCell ref="B43:B44"/>
    <mergeCell ref="C43:C44"/>
    <mergeCell ref="D43:G43"/>
    <mergeCell ref="B52:C52"/>
    <mergeCell ref="B12:B13"/>
    <mergeCell ref="C12:C13"/>
    <mergeCell ref="D12:G12"/>
    <mergeCell ref="B24:C24"/>
    <mergeCell ref="B28:B29"/>
    <mergeCell ref="C28:C29"/>
    <mergeCell ref="D28:G28"/>
  </mergeCells>
  <phoneticPr fontId="14" type="noConversion"/>
  <hyperlinks>
    <hyperlink ref="B5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006"/>
  <sheetViews>
    <sheetView workbookViewId="0"/>
  </sheetViews>
  <sheetFormatPr defaultColWidth="12.6640625" defaultRowHeight="15.75" customHeight="1"/>
  <cols>
    <col min="1" max="1" width="9.21875" customWidth="1"/>
    <col min="2" max="2" width="18.21875" customWidth="1"/>
    <col min="3" max="3" width="19.21875" customWidth="1"/>
    <col min="4" max="4" width="16.6640625" customWidth="1"/>
    <col min="5" max="5" width="17.33203125" customWidth="1"/>
    <col min="6" max="6" width="16" customWidth="1"/>
    <col min="7" max="10" width="18.44140625" customWidth="1"/>
    <col min="11" max="11" width="16.109375" customWidth="1"/>
    <col min="12" max="12" width="16.21875" customWidth="1"/>
  </cols>
  <sheetData>
    <row r="1" spans="2:12" ht="13.2">
      <c r="B1" s="1"/>
    </row>
    <row r="2" spans="2:12" ht="17.399999999999999">
      <c r="B2" s="2" t="s">
        <v>0</v>
      </c>
      <c r="C2" s="2" t="s">
        <v>1</v>
      </c>
      <c r="D2" s="2" t="s">
        <v>2</v>
      </c>
      <c r="E2" s="2" t="s">
        <v>3</v>
      </c>
      <c r="F2" s="2" t="s">
        <v>5</v>
      </c>
      <c r="G2" s="2"/>
      <c r="H2" s="2"/>
      <c r="I2" s="2"/>
      <c r="J2" s="2" t="s">
        <v>6</v>
      </c>
      <c r="K2" s="2" t="s">
        <v>7</v>
      </c>
      <c r="L2" s="2" t="s">
        <v>8</v>
      </c>
    </row>
    <row r="3" spans="2:12" ht="15.75" customHeight="1">
      <c r="B3" s="3" t="s">
        <v>9</v>
      </c>
      <c r="C3" s="4">
        <v>329138917</v>
      </c>
      <c r="D3" s="5">
        <v>284850834</v>
      </c>
      <c r="E3" s="6">
        <f ca="1">IFERROR(__xludf.DUMMYFUNCTION("IMPORTRANGE(""https://docs.google.com/spreadsheets/d/1clSshtPnAYcngQuOm0Y52xT5NW0ZKUfs98fznZ94IiI/edit?gid=1023801305"",""'0.(년도별)투자 수익율'!E3"")"),314703095)</f>
        <v>314703095</v>
      </c>
      <c r="F3" s="7"/>
      <c r="G3" s="7"/>
      <c r="H3" s="7"/>
      <c r="I3" s="7"/>
      <c r="J3" s="7"/>
      <c r="K3" s="7"/>
      <c r="L3" s="7"/>
    </row>
    <row r="4" spans="2:12" ht="15.75" customHeight="1">
      <c r="B4" s="3" t="s">
        <v>19</v>
      </c>
      <c r="C4" s="4">
        <v>512788472</v>
      </c>
      <c r="D4" s="5">
        <v>517456447</v>
      </c>
      <c r="E4" s="6">
        <f ca="1">IFERROR(__xludf.DUMMYFUNCTION("IMPORTRANGE(""https://docs.google.com/spreadsheets/d/1clSshtPnAYcngQuOm0Y52xT5NW0ZKUfs98fznZ94IiI/edit?gid=1023801305"",""'0.(년도별)투자 수익율'!E4"")"),725917739.09451)</f>
        <v>725917739.09450996</v>
      </c>
      <c r="F4" s="7"/>
      <c r="G4" s="7"/>
      <c r="H4" s="7"/>
      <c r="I4" s="7"/>
      <c r="J4" s="7"/>
      <c r="K4" s="7"/>
      <c r="L4" s="7"/>
    </row>
    <row r="5" spans="2:12" ht="15.75" customHeight="1">
      <c r="B5" s="8" t="s">
        <v>21</v>
      </c>
      <c r="C5" s="10">
        <v>183649555</v>
      </c>
      <c r="D5" s="11">
        <v>4667975</v>
      </c>
      <c r="E5" s="9">
        <f ca="1">E4-D4</f>
        <v>208461292.09450996</v>
      </c>
      <c r="F5" s="12"/>
      <c r="G5" s="12"/>
      <c r="H5" s="12"/>
      <c r="I5" s="12"/>
      <c r="J5" s="12"/>
      <c r="K5" s="12"/>
      <c r="L5" s="12"/>
    </row>
    <row r="6" spans="2:12" ht="15.75" customHeight="1">
      <c r="B6" s="8" t="s">
        <v>24</v>
      </c>
      <c r="C6" s="13">
        <v>0.55800000000000005</v>
      </c>
      <c r="D6" s="13">
        <v>9.1000000000000004E-3</v>
      </c>
      <c r="E6" s="15">
        <f ca="1">(E4-D4)/D4</f>
        <v>0.4028576574957814</v>
      </c>
      <c r="F6" s="12"/>
      <c r="G6" s="12"/>
      <c r="H6" s="12"/>
      <c r="I6" s="12"/>
      <c r="J6" s="12"/>
      <c r="K6" s="12"/>
      <c r="L6" s="12"/>
    </row>
    <row r="7" spans="2:12" ht="15.75" customHeight="1">
      <c r="B7" s="21" t="s">
        <v>27</v>
      </c>
      <c r="C7" s="22">
        <v>183649555</v>
      </c>
      <c r="D7" s="22">
        <v>232605613</v>
      </c>
      <c r="E7" s="24">
        <f ca="1">E4-E3</f>
        <v>411214644.09450996</v>
      </c>
      <c r="F7" s="25"/>
      <c r="G7" s="25"/>
      <c r="H7" s="25"/>
      <c r="I7" s="25"/>
      <c r="J7" s="25"/>
      <c r="K7" s="25"/>
      <c r="L7" s="25"/>
    </row>
    <row r="8" spans="2:12" ht="15.75" customHeight="1">
      <c r="B8" s="21" t="s">
        <v>28</v>
      </c>
      <c r="C8" s="26">
        <v>0.55800000000000005</v>
      </c>
      <c r="D8" s="26">
        <v>0.80930000000000002</v>
      </c>
      <c r="E8" s="27">
        <f ca="1">IFERROR(__xludf.DUMMYFUNCTION("IMPORTRANGE(""https://docs.google.com/spreadsheets/d/1clSshtPnAYcngQuOm0Y52xT5NW0ZKUfs98fznZ94IiI/edit?gid=1023801305"",""'0.(년도별)투자 수익율'!G24"")"),1.30636636235163)</f>
        <v>1.30636636235163</v>
      </c>
      <c r="F8" s="28"/>
      <c r="G8" s="28"/>
      <c r="H8" s="28"/>
      <c r="I8" s="28"/>
      <c r="J8" s="28"/>
      <c r="K8" s="28"/>
      <c r="L8" s="28"/>
    </row>
    <row r="9" spans="2:12" ht="15.75" customHeight="1">
      <c r="B9" s="30"/>
    </row>
    <row r="10" spans="2:12" ht="15.75" customHeight="1">
      <c r="B10" s="30"/>
    </row>
    <row r="11" spans="2:12" ht="15.75" customHeight="1">
      <c r="B11" s="30" t="s">
        <v>29</v>
      </c>
    </row>
    <row r="12" spans="2:12" ht="17.399999999999999">
      <c r="B12" s="85" t="s">
        <v>0</v>
      </c>
      <c r="C12" s="85" t="s">
        <v>0</v>
      </c>
      <c r="D12" s="87" t="s">
        <v>3</v>
      </c>
      <c r="E12" s="88"/>
      <c r="F12" s="88"/>
      <c r="G12" s="88"/>
      <c r="H12" s="88"/>
      <c r="I12" s="88"/>
      <c r="J12" s="89"/>
    </row>
    <row r="13" spans="2:12" ht="15.75" customHeight="1">
      <c r="B13" s="86"/>
      <c r="C13" s="86"/>
      <c r="D13" s="31" t="s">
        <v>1</v>
      </c>
      <c r="E13" s="14" t="s">
        <v>2</v>
      </c>
      <c r="F13" s="14" t="s">
        <v>3</v>
      </c>
      <c r="G13" s="14" t="s">
        <v>5</v>
      </c>
      <c r="H13" s="14" t="s">
        <v>6</v>
      </c>
      <c r="I13" s="14" t="s">
        <v>7</v>
      </c>
      <c r="J13" s="14" t="s">
        <v>8</v>
      </c>
    </row>
    <row r="14" spans="2:12" ht="15.75" customHeight="1">
      <c r="B14" s="93" t="s">
        <v>25</v>
      </c>
      <c r="C14" s="32" t="s">
        <v>20</v>
      </c>
      <c r="D14" s="18">
        <v>160777630</v>
      </c>
      <c r="E14" s="18">
        <v>165702475</v>
      </c>
      <c r="F14" s="19">
        <f ca="1">IFERROR(__xludf.DUMMYFUNCTION("IMPORTRANGE(""1ZroPOkUSwNqHiVWENaoVxlR6AK-AlBV3axVBscxZgRA/edit?gid=1035245516"",""'1.투자 현황(현재)'!M16"")"),268474060)</f>
        <v>268474060</v>
      </c>
      <c r="G14" s="20"/>
      <c r="H14" s="20"/>
      <c r="I14" s="20"/>
      <c r="J14" s="20"/>
    </row>
    <row r="15" spans="2:12" ht="15.75" customHeight="1">
      <c r="B15" s="92"/>
      <c r="C15" s="32" t="s">
        <v>21</v>
      </c>
      <c r="D15" s="18"/>
      <c r="E15" s="9">
        <f t="shared" ref="E15:F15" si="0">E14-D14</f>
        <v>4924845</v>
      </c>
      <c r="F15" s="9">
        <f t="shared" ca="1" si="0"/>
        <v>102771585</v>
      </c>
      <c r="G15" s="20"/>
      <c r="H15" s="20"/>
      <c r="I15" s="20"/>
      <c r="J15" s="20"/>
    </row>
    <row r="16" spans="2:12" ht="15.75" customHeight="1">
      <c r="B16" s="86"/>
      <c r="C16" s="32" t="s">
        <v>24</v>
      </c>
      <c r="D16" s="18"/>
      <c r="E16" s="15">
        <f t="shared" ref="E16:F16" si="1">(E14-D14)/D14</f>
        <v>3.063140686922677E-2</v>
      </c>
      <c r="F16" s="15">
        <f t="shared" ca="1" si="1"/>
        <v>0.62021756162664443</v>
      </c>
      <c r="G16" s="20"/>
      <c r="H16" s="20"/>
      <c r="I16" s="20"/>
      <c r="J16" s="20"/>
    </row>
    <row r="17" spans="2:10" ht="15.75" customHeight="1">
      <c r="B17" s="93" t="s">
        <v>30</v>
      </c>
      <c r="C17" s="32" t="s">
        <v>20</v>
      </c>
      <c r="D17" s="18">
        <v>36126130</v>
      </c>
      <c r="E17" s="18">
        <v>31494660</v>
      </c>
      <c r="F17" s="19">
        <f ca="1">IFERROR(__xludf.DUMMYFUNCTION("IMPORTRANGE(""1ZroPOkUSwNqHiVWENaoVxlR6AK-AlBV3axVBscxZgRA/edit?gid=1035245516"",""'1.투자 현황(현재)'!M29"")"),54607760)</f>
        <v>54607760</v>
      </c>
      <c r="G17" s="20"/>
      <c r="H17" s="20"/>
      <c r="I17" s="20"/>
      <c r="J17" s="20"/>
    </row>
    <row r="18" spans="2:10" ht="15.75" customHeight="1">
      <c r="B18" s="92"/>
      <c r="C18" s="32" t="s">
        <v>21</v>
      </c>
      <c r="D18" s="18"/>
      <c r="E18" s="9">
        <f t="shared" ref="E18:F18" si="2">E17-D17</f>
        <v>-4631470</v>
      </c>
      <c r="F18" s="9">
        <f t="shared" ca="1" si="2"/>
        <v>23113100</v>
      </c>
      <c r="G18" s="20"/>
      <c r="H18" s="20"/>
      <c r="I18" s="20"/>
      <c r="J18" s="20"/>
    </row>
    <row r="19" spans="2:10" ht="15.75" customHeight="1">
      <c r="B19" s="86"/>
      <c r="C19" s="32" t="s">
        <v>24</v>
      </c>
      <c r="D19" s="18"/>
      <c r="E19" s="15">
        <f t="shared" ref="E19:F19" si="3">(E17-D17)/D17</f>
        <v>-0.12820277178873021</v>
      </c>
      <c r="F19" s="15">
        <f t="shared" ca="1" si="3"/>
        <v>0.73387361540019802</v>
      </c>
      <c r="G19" s="20"/>
      <c r="H19" s="20"/>
      <c r="I19" s="20"/>
      <c r="J19" s="20"/>
    </row>
    <row r="20" spans="2:10" ht="15.75" customHeight="1">
      <c r="B20" s="93" t="s">
        <v>34</v>
      </c>
      <c r="C20" s="32" t="s">
        <v>20</v>
      </c>
      <c r="D20" s="18">
        <v>6872315</v>
      </c>
      <c r="E20" s="18">
        <v>14132025</v>
      </c>
      <c r="F20" s="19">
        <f ca="1">IFERROR(__xludf.DUMMYFUNCTION("IMPORTRANGE(""1ZroPOkUSwNqHiVWENaoVxlR6AK-AlBV3axVBscxZgRA/edit?gid=1035245516"",""'1.투자 현황(현재)'!M42"")"),30621885)</f>
        <v>30621885</v>
      </c>
      <c r="G20" s="20"/>
      <c r="H20" s="20"/>
      <c r="I20" s="20"/>
      <c r="J20" s="20"/>
    </row>
    <row r="21" spans="2:10" ht="15.75" customHeight="1">
      <c r="B21" s="92"/>
      <c r="C21" s="32" t="s">
        <v>21</v>
      </c>
      <c r="D21" s="18"/>
      <c r="E21" s="9">
        <f t="shared" ref="E21:F21" si="4">E20-D20</f>
        <v>7259710</v>
      </c>
      <c r="F21" s="9">
        <f t="shared" ca="1" si="4"/>
        <v>16489860</v>
      </c>
      <c r="G21" s="20"/>
      <c r="H21" s="20"/>
      <c r="I21" s="20"/>
      <c r="J21" s="20"/>
    </row>
    <row r="22" spans="2:10" ht="15.75" customHeight="1">
      <c r="B22" s="86"/>
      <c r="C22" s="32" t="s">
        <v>24</v>
      </c>
      <c r="D22" s="18"/>
      <c r="E22" s="15">
        <f t="shared" ref="E22:F22" si="5">(E20-D20)/D20</f>
        <v>1.0563703788315872</v>
      </c>
      <c r="F22" s="15">
        <f t="shared" ca="1" si="5"/>
        <v>1.1668433929320108</v>
      </c>
      <c r="G22" s="20"/>
      <c r="H22" s="20"/>
      <c r="I22" s="20"/>
      <c r="J22" s="20"/>
    </row>
    <row r="23" spans="2:10" ht="15.75" customHeight="1">
      <c r="B23" s="93" t="s">
        <v>36</v>
      </c>
      <c r="C23" s="32" t="s">
        <v>20</v>
      </c>
      <c r="D23" s="18">
        <v>52322500</v>
      </c>
      <c r="E23" s="18">
        <v>54571615</v>
      </c>
      <c r="F23" s="19">
        <f ca="1">IFERROR(__xludf.DUMMYFUNCTION("IMPORTRANGE(""1ZroPOkUSwNqHiVWENaoVxlR6AK-AlBV3axVBscxZgRA/edit?gid=1035245516"",""'1.투자 현황(현재)'!M53"")"),100591070)</f>
        <v>100591070</v>
      </c>
      <c r="G23" s="20"/>
      <c r="H23" s="20"/>
      <c r="I23" s="20"/>
      <c r="J23" s="20"/>
    </row>
    <row r="24" spans="2:10" ht="15.75" customHeight="1">
      <c r="B24" s="92"/>
      <c r="C24" s="32" t="s">
        <v>21</v>
      </c>
      <c r="D24" s="18"/>
      <c r="E24" s="9">
        <f t="shared" ref="E24:F24" si="6">E23-D23</f>
        <v>2249115</v>
      </c>
      <c r="F24" s="9">
        <f t="shared" ca="1" si="6"/>
        <v>46019455</v>
      </c>
      <c r="G24" s="20"/>
      <c r="H24" s="20"/>
      <c r="I24" s="20"/>
      <c r="J24" s="20"/>
    </row>
    <row r="25" spans="2:10" ht="15.75" customHeight="1">
      <c r="B25" s="86"/>
      <c r="C25" s="32" t="s">
        <v>24</v>
      </c>
      <c r="D25" s="18"/>
      <c r="E25" s="15">
        <f t="shared" ref="E25:F25" si="7">(E23-D23)/D23</f>
        <v>4.2985618041951362E-2</v>
      </c>
      <c r="F25" s="15">
        <f t="shared" ca="1" si="7"/>
        <v>0.84328556155063394</v>
      </c>
      <c r="G25" s="20"/>
      <c r="H25" s="20"/>
      <c r="I25" s="20"/>
      <c r="J25" s="20"/>
    </row>
    <row r="26" spans="2:10" ht="15.75" customHeight="1">
      <c r="B26" s="91" t="s">
        <v>46</v>
      </c>
      <c r="C26" s="32" t="s">
        <v>20</v>
      </c>
      <c r="D26" s="18">
        <v>0</v>
      </c>
      <c r="E26" s="18">
        <v>1169340</v>
      </c>
      <c r="F26" s="19">
        <f ca="1">IFERROR(__xludf.DUMMYFUNCTION("IMPORTRANGE(""1ZroPOkUSwNqHiVWENaoVxlR6AK-AlBV3axVBscxZgRA/edit?gid=1035245516"",""'1.투자 현황(현재)'!M66"")"),3648190)</f>
        <v>3648190</v>
      </c>
      <c r="G26" s="20"/>
      <c r="H26" s="20"/>
      <c r="I26" s="20"/>
      <c r="J26" s="20"/>
    </row>
    <row r="27" spans="2:10" ht="15.75" customHeight="1">
      <c r="B27" s="92"/>
      <c r="C27" s="32" t="s">
        <v>21</v>
      </c>
      <c r="D27" s="18"/>
      <c r="E27" s="18"/>
      <c r="F27" s="9">
        <f ca="1">F26-E26</f>
        <v>2478850</v>
      </c>
      <c r="G27" s="20"/>
      <c r="H27" s="20"/>
      <c r="I27" s="20"/>
      <c r="J27" s="20"/>
    </row>
    <row r="28" spans="2:10" ht="15.75" customHeight="1">
      <c r="B28" s="86"/>
      <c r="C28" s="32" t="s">
        <v>24</v>
      </c>
      <c r="D28" s="18"/>
      <c r="E28" s="18"/>
      <c r="F28" s="15">
        <f ca="1">(F26-E26)/E26</f>
        <v>2.1198710383635211</v>
      </c>
      <c r="G28" s="20"/>
      <c r="H28" s="20"/>
      <c r="I28" s="20"/>
      <c r="J28" s="20"/>
    </row>
    <row r="29" spans="2:10" ht="15.75" customHeight="1">
      <c r="B29" s="93" t="s">
        <v>38</v>
      </c>
      <c r="C29" s="32" t="s">
        <v>20</v>
      </c>
      <c r="D29" s="18">
        <v>663550</v>
      </c>
      <c r="E29" s="18">
        <v>944850</v>
      </c>
      <c r="F29" s="19">
        <f ca="1">IFERROR(__xludf.DUMMYFUNCTION("IMPORTRANGE(""1ZroPOkUSwNqHiVWENaoVxlR6AK-AlBV3axVBscxZgRA/edit?gid=1035245516"",""'1.투자 현황(현재)'!M115"")"),61025350)</f>
        <v>61025350</v>
      </c>
      <c r="G29" s="20"/>
      <c r="H29" s="20"/>
      <c r="I29" s="20"/>
      <c r="J29" s="20"/>
    </row>
    <row r="30" spans="2:10" ht="15.75" customHeight="1">
      <c r="B30" s="92"/>
      <c r="C30" s="32" t="s">
        <v>21</v>
      </c>
      <c r="D30" s="18"/>
      <c r="E30" s="9">
        <f t="shared" ref="E30:F30" si="8">E29-D29</f>
        <v>281300</v>
      </c>
      <c r="F30" s="9">
        <f t="shared" ca="1" si="8"/>
        <v>60080500</v>
      </c>
      <c r="G30" s="20"/>
      <c r="H30" s="20"/>
      <c r="I30" s="20"/>
      <c r="J30" s="20"/>
    </row>
    <row r="31" spans="2:10" ht="15.75" customHeight="1">
      <c r="B31" s="86"/>
      <c r="C31" s="32" t="s">
        <v>24</v>
      </c>
      <c r="D31" s="18"/>
      <c r="E31" s="15">
        <f t="shared" ref="E31:F31" si="9">(E29-D29)/D29</f>
        <v>0.42393188154622863</v>
      </c>
      <c r="F31" s="15">
        <f t="shared" ca="1" si="9"/>
        <v>63.587341906122667</v>
      </c>
      <c r="G31" s="20"/>
      <c r="H31" s="20"/>
      <c r="I31" s="20"/>
      <c r="J31" s="20"/>
    </row>
    <row r="32" spans="2:10" ht="15.75" customHeight="1">
      <c r="B32" s="93" t="s">
        <v>52</v>
      </c>
      <c r="C32" s="32" t="s">
        <v>20</v>
      </c>
      <c r="D32" s="18"/>
      <c r="E32" s="18">
        <v>1708983</v>
      </c>
      <c r="F32" s="19">
        <f ca="1">IFERROR(__xludf.DUMMYFUNCTION("IMPORTRANGE(""1ZroPOkUSwNqHiVWENaoVxlR6AK-AlBV3axVBscxZgRA/edit?gid=1035245516"",""'1.투자 현황(현재)'!M76"")"),24403300)</f>
        <v>24403300</v>
      </c>
      <c r="G32" s="20"/>
      <c r="H32" s="20"/>
      <c r="I32" s="20"/>
      <c r="J32" s="20"/>
    </row>
    <row r="33" spans="1:29" ht="17.399999999999999">
      <c r="B33" s="92"/>
      <c r="C33" s="32" t="s">
        <v>21</v>
      </c>
      <c r="D33" s="18"/>
      <c r="E33" s="18"/>
      <c r="F33" s="9">
        <f ca="1">F32-E32</f>
        <v>22694317</v>
      </c>
      <c r="G33" s="20"/>
      <c r="H33" s="20"/>
      <c r="I33" s="20"/>
      <c r="J33" s="20"/>
    </row>
    <row r="34" spans="1:29" ht="17.399999999999999">
      <c r="B34" s="86"/>
      <c r="C34" s="32" t="s">
        <v>24</v>
      </c>
      <c r="D34" s="18"/>
      <c r="E34" s="18"/>
      <c r="F34" s="15">
        <f ca="1">(F32-E32)/E32</f>
        <v>13.27942817453421</v>
      </c>
      <c r="G34" s="20"/>
      <c r="H34" s="20"/>
      <c r="I34" s="20"/>
      <c r="J34" s="20"/>
    </row>
    <row r="35" spans="1:29" ht="17.399999999999999">
      <c r="B35" s="93" t="s">
        <v>53</v>
      </c>
      <c r="C35" s="32" t="s">
        <v>20</v>
      </c>
      <c r="D35" s="18">
        <v>33048861.604811206</v>
      </c>
      <c r="E35" s="18">
        <v>49301247</v>
      </c>
      <c r="F35" s="19">
        <f ca="1">IFERROR(__xludf.DUMMYFUNCTION("IMPORTRANGE(""1ZroPOkUSwNqHiVWENaoVxlR6AK-AlBV3axVBscxZgRA/edit?gid=1035245516"",""'1.투자 현황(현재)'!M85"")"),22708542.43595)</f>
        <v>22708542.43595</v>
      </c>
      <c r="G35" s="20"/>
      <c r="H35" s="20"/>
      <c r="I35" s="20"/>
      <c r="J35" s="20"/>
    </row>
    <row r="36" spans="1:29" ht="17.399999999999999">
      <c r="B36" s="92"/>
      <c r="C36" s="32" t="s">
        <v>21</v>
      </c>
      <c r="D36" s="18"/>
      <c r="E36" s="9">
        <f t="shared" ref="E36:F36" si="10">E35-D35</f>
        <v>16252385.395188794</v>
      </c>
      <c r="F36" s="9">
        <f t="shared" ca="1" si="10"/>
        <v>-26592704.56405</v>
      </c>
      <c r="G36" s="20"/>
      <c r="H36" s="20"/>
      <c r="I36" s="20"/>
      <c r="J36" s="20"/>
    </row>
    <row r="37" spans="1:29" ht="17.399999999999999">
      <c r="B37" s="86"/>
      <c r="C37" s="32" t="s">
        <v>24</v>
      </c>
      <c r="D37" s="18"/>
      <c r="E37" s="15">
        <f t="shared" ref="E37:F37" si="11">(E35-D35)/D35</f>
        <v>0.49176838795629785</v>
      </c>
      <c r="F37" s="15">
        <f t="shared" ca="1" si="11"/>
        <v>-0.5393921286423039</v>
      </c>
      <c r="G37" s="20"/>
      <c r="H37" s="20"/>
      <c r="I37" s="20"/>
      <c r="J37" s="20"/>
    </row>
    <row r="38" spans="1:29" ht="17.399999999999999">
      <c r="B38" s="91" t="s">
        <v>48</v>
      </c>
      <c r="C38" s="32" t="s">
        <v>20</v>
      </c>
      <c r="D38" s="18"/>
      <c r="E38" s="18">
        <v>78653718</v>
      </c>
      <c r="F38" s="19">
        <f ca="1">IFERROR(__xludf.DUMMYFUNCTION("IMPORTRANGE(""1ZroPOkUSwNqHiVWENaoVxlR6AK-AlBV3axVBscxZgRA/edit?gid=1035245516"",""'1.투자 현황(현재)'!M105"")"),159710475)</f>
        <v>159710475</v>
      </c>
      <c r="G38" s="20"/>
      <c r="H38" s="20"/>
      <c r="I38" s="20"/>
      <c r="J38" s="20"/>
    </row>
    <row r="39" spans="1:29" ht="17.399999999999999">
      <c r="A39" s="43"/>
      <c r="B39" s="92"/>
      <c r="C39" s="32" t="s">
        <v>21</v>
      </c>
      <c r="D39" s="44"/>
      <c r="E39" s="20"/>
      <c r="F39" s="9">
        <f ca="1">F38-E38</f>
        <v>81056757</v>
      </c>
      <c r="G39" s="20"/>
      <c r="H39" s="20"/>
      <c r="I39" s="20"/>
      <c r="J39" s="20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</row>
    <row r="40" spans="1:29" ht="17.399999999999999">
      <c r="A40" s="43"/>
      <c r="B40" s="86"/>
      <c r="C40" s="32" t="s">
        <v>24</v>
      </c>
      <c r="D40" s="44"/>
      <c r="E40" s="20"/>
      <c r="F40" s="15">
        <f ca="1">(F38-E38)/E38</f>
        <v>1.0305521348653854</v>
      </c>
      <c r="G40" s="20"/>
      <c r="H40" s="20"/>
      <c r="I40" s="20"/>
      <c r="J40" s="20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</row>
    <row r="41" spans="1:29" ht="17.399999999999999">
      <c r="B41" s="91" t="s">
        <v>55</v>
      </c>
      <c r="C41" s="32" t="s">
        <v>20</v>
      </c>
      <c r="D41" s="18">
        <v>222977485.56744179</v>
      </c>
      <c r="E41" s="18">
        <v>198431252</v>
      </c>
      <c r="F41" s="19">
        <f ca="1">IFERROR(__xludf.DUMMYFUNCTION("IMPORTRANGE(""1ZroPOkUSwNqHiVWENaoVxlR6AK-AlBV3axVBscxZgRA/edit?gid=1035245516"",""'1.투자 현황(현재)'!M95"")"),127106.65856)</f>
        <v>127106.65856</v>
      </c>
      <c r="G41" s="20"/>
      <c r="H41" s="20"/>
      <c r="I41" s="20"/>
      <c r="J41" s="20"/>
    </row>
    <row r="42" spans="1:29" ht="17.399999999999999">
      <c r="B42" s="92"/>
      <c r="C42" s="32" t="s">
        <v>21</v>
      </c>
      <c r="D42" s="18"/>
      <c r="E42" s="9">
        <f t="shared" ref="E42:F42" si="12">E41-D41</f>
        <v>-24546233.567441791</v>
      </c>
      <c r="F42" s="9">
        <f t="shared" ca="1" si="12"/>
        <v>-198304145.34143999</v>
      </c>
      <c r="G42" s="20"/>
      <c r="H42" s="20"/>
      <c r="I42" s="20"/>
      <c r="J42" s="20"/>
    </row>
    <row r="43" spans="1:29" ht="17.399999999999999">
      <c r="B43" s="86"/>
      <c r="C43" s="32" t="s">
        <v>24</v>
      </c>
      <c r="E43" s="15">
        <f t="shared" ref="E43:F43" si="13">(E41-D41)/D41</f>
        <v>-0.11008391051220073</v>
      </c>
      <c r="F43" s="15">
        <f t="shared" ca="1" si="13"/>
        <v>-0.99935944233945562</v>
      </c>
    </row>
    <row r="44" spans="1:29" ht="19.2">
      <c r="B44" s="90" t="s">
        <v>50</v>
      </c>
      <c r="C44" s="88"/>
      <c r="D44" s="40">
        <f>SUM(D14:D38)</f>
        <v>289810986.60481119</v>
      </c>
      <c r="E44" s="40">
        <f>E14+E17+E20+E23+E26+E29+E32+E35+E41</f>
        <v>517456447</v>
      </c>
      <c r="F44" s="40">
        <f ca="1">F14+F17+F20+F23+F26+F29+F32+F35+F38+F41</f>
        <v>725917739.09451008</v>
      </c>
      <c r="G44" s="23"/>
      <c r="H44" s="23"/>
      <c r="I44" s="23"/>
      <c r="J44" s="23"/>
    </row>
    <row r="45" spans="1:29" ht="13.2">
      <c r="B45" s="1"/>
    </row>
    <row r="46" spans="1:29" ht="13.2">
      <c r="B46" s="1"/>
    </row>
    <row r="47" spans="1:29" ht="13.2">
      <c r="B47" s="1"/>
    </row>
    <row r="48" spans="1:29" ht="13.2">
      <c r="B48" s="1"/>
    </row>
    <row r="49" spans="2:2" ht="13.2">
      <c r="B49" s="1"/>
    </row>
    <row r="50" spans="2:2" ht="13.2">
      <c r="B50" s="1"/>
    </row>
    <row r="51" spans="2:2" ht="13.2">
      <c r="B51" s="1"/>
    </row>
    <row r="52" spans="2:2" ht="13.2">
      <c r="B52" s="1"/>
    </row>
    <row r="53" spans="2:2" ht="13.2">
      <c r="B53" s="1"/>
    </row>
    <row r="54" spans="2:2" ht="13.2">
      <c r="B54" s="1"/>
    </row>
    <row r="55" spans="2:2" ht="13.2">
      <c r="B55" s="1"/>
    </row>
    <row r="56" spans="2:2" ht="13.2">
      <c r="B56" s="1"/>
    </row>
    <row r="57" spans="2:2" ht="13.2">
      <c r="B57" s="1"/>
    </row>
    <row r="58" spans="2:2" ht="13.2">
      <c r="B58" s="1"/>
    </row>
    <row r="59" spans="2:2" ht="13.2">
      <c r="B59" s="1"/>
    </row>
    <row r="60" spans="2:2" ht="13.2">
      <c r="B60" s="1"/>
    </row>
    <row r="61" spans="2:2" ht="13.2">
      <c r="B61" s="1"/>
    </row>
    <row r="62" spans="2:2" ht="13.2">
      <c r="B62" s="1"/>
    </row>
    <row r="63" spans="2:2" ht="13.2">
      <c r="B63" s="1"/>
    </row>
    <row r="64" spans="2:2" ht="13.2">
      <c r="B64" s="1"/>
    </row>
    <row r="65" spans="2:2" ht="13.2">
      <c r="B65" s="1"/>
    </row>
    <row r="66" spans="2:2" ht="13.2">
      <c r="B66" s="1"/>
    </row>
    <row r="67" spans="2:2" ht="13.2">
      <c r="B67" s="1"/>
    </row>
    <row r="68" spans="2:2" ht="13.2">
      <c r="B68" s="1"/>
    </row>
    <row r="69" spans="2:2" ht="13.2">
      <c r="B69" s="1"/>
    </row>
    <row r="70" spans="2:2" ht="13.2">
      <c r="B70" s="1"/>
    </row>
    <row r="71" spans="2:2" ht="13.2">
      <c r="B71" s="1"/>
    </row>
    <row r="72" spans="2:2" ht="13.2">
      <c r="B72" s="1"/>
    </row>
    <row r="73" spans="2:2" ht="13.2">
      <c r="B73" s="1"/>
    </row>
    <row r="74" spans="2:2" ht="13.2">
      <c r="B74" s="1"/>
    </row>
    <row r="75" spans="2:2" ht="13.2">
      <c r="B75" s="1"/>
    </row>
    <row r="76" spans="2:2" ht="13.2">
      <c r="B76" s="1"/>
    </row>
    <row r="77" spans="2:2" ht="13.2">
      <c r="B77" s="1"/>
    </row>
    <row r="78" spans="2:2" ht="13.2">
      <c r="B78" s="1"/>
    </row>
    <row r="79" spans="2:2" ht="13.2">
      <c r="B79" s="1"/>
    </row>
    <row r="80" spans="2:2" ht="13.2">
      <c r="B80" s="1"/>
    </row>
    <row r="81" spans="2:2" ht="13.2">
      <c r="B81" s="1"/>
    </row>
    <row r="82" spans="2:2" ht="13.2">
      <c r="B82" s="1"/>
    </row>
    <row r="83" spans="2:2" ht="13.2">
      <c r="B83" s="1"/>
    </row>
    <row r="84" spans="2:2" ht="13.2">
      <c r="B84" s="1"/>
    </row>
    <row r="85" spans="2:2" ht="13.2">
      <c r="B85" s="1"/>
    </row>
    <row r="86" spans="2:2" ht="13.2">
      <c r="B86" s="1"/>
    </row>
    <row r="87" spans="2:2" ht="13.2">
      <c r="B87" s="1"/>
    </row>
    <row r="88" spans="2:2" ht="13.2">
      <c r="B88" s="1"/>
    </row>
    <row r="89" spans="2:2" ht="13.2">
      <c r="B89" s="1"/>
    </row>
    <row r="90" spans="2:2" ht="13.2">
      <c r="B90" s="1"/>
    </row>
    <row r="91" spans="2:2" ht="13.2">
      <c r="B91" s="1"/>
    </row>
    <row r="92" spans="2:2" ht="13.2">
      <c r="B92" s="1"/>
    </row>
    <row r="93" spans="2:2" ht="13.2">
      <c r="B93" s="1"/>
    </row>
    <row r="94" spans="2:2" ht="13.2">
      <c r="B94" s="1"/>
    </row>
    <row r="95" spans="2:2" ht="13.2">
      <c r="B95" s="1"/>
    </row>
    <row r="96" spans="2:2" ht="13.2">
      <c r="B96" s="1"/>
    </row>
    <row r="97" spans="2:2" ht="13.2">
      <c r="B97" s="1"/>
    </row>
    <row r="98" spans="2:2" ht="13.2">
      <c r="B98" s="1"/>
    </row>
    <row r="99" spans="2:2" ht="13.2">
      <c r="B99" s="1"/>
    </row>
    <row r="100" spans="2:2" ht="13.2">
      <c r="B100" s="1"/>
    </row>
    <row r="101" spans="2:2" ht="13.2">
      <c r="B101" s="1"/>
    </row>
    <row r="102" spans="2:2" ht="13.2">
      <c r="B102" s="1"/>
    </row>
    <row r="103" spans="2:2" ht="13.2">
      <c r="B103" s="1"/>
    </row>
    <row r="104" spans="2:2" ht="13.2">
      <c r="B104" s="1"/>
    </row>
    <row r="105" spans="2:2" ht="13.2">
      <c r="B105" s="1"/>
    </row>
    <row r="106" spans="2:2" ht="13.2">
      <c r="B106" s="1"/>
    </row>
    <row r="107" spans="2:2" ht="13.2">
      <c r="B107" s="1"/>
    </row>
    <row r="108" spans="2:2" ht="13.2">
      <c r="B108" s="1"/>
    </row>
    <row r="109" spans="2:2" ht="13.2">
      <c r="B109" s="1"/>
    </row>
    <row r="110" spans="2:2" ht="13.2">
      <c r="B110" s="1"/>
    </row>
    <row r="111" spans="2:2" ht="13.2">
      <c r="B111" s="1"/>
    </row>
    <row r="112" spans="2:2" ht="13.2">
      <c r="B112" s="1"/>
    </row>
    <row r="113" spans="2:2" ht="13.2">
      <c r="B113" s="1"/>
    </row>
    <row r="114" spans="2:2" ht="13.2">
      <c r="B114" s="1"/>
    </row>
    <row r="115" spans="2:2" ht="13.2">
      <c r="B115" s="1"/>
    </row>
    <row r="116" spans="2:2" ht="13.2">
      <c r="B116" s="1"/>
    </row>
    <row r="117" spans="2:2" ht="13.2">
      <c r="B117" s="1"/>
    </row>
    <row r="118" spans="2:2" ht="13.2">
      <c r="B118" s="1"/>
    </row>
    <row r="119" spans="2:2" ht="13.2">
      <c r="B119" s="1"/>
    </row>
    <row r="120" spans="2:2" ht="13.2">
      <c r="B120" s="1"/>
    </row>
    <row r="121" spans="2:2" ht="13.2">
      <c r="B121" s="1"/>
    </row>
    <row r="122" spans="2:2" ht="13.2">
      <c r="B122" s="1"/>
    </row>
    <row r="123" spans="2:2" ht="13.2">
      <c r="B123" s="1"/>
    </row>
    <row r="124" spans="2:2" ht="13.2">
      <c r="B124" s="1"/>
    </row>
    <row r="125" spans="2:2" ht="13.2">
      <c r="B125" s="1"/>
    </row>
    <row r="126" spans="2:2" ht="13.2">
      <c r="B126" s="1"/>
    </row>
    <row r="127" spans="2:2" ht="13.2">
      <c r="B127" s="1"/>
    </row>
    <row r="128" spans="2:2" ht="13.2">
      <c r="B128" s="1"/>
    </row>
    <row r="129" spans="2:2" ht="13.2">
      <c r="B129" s="1"/>
    </row>
    <row r="130" spans="2:2" ht="13.2">
      <c r="B130" s="1"/>
    </row>
    <row r="131" spans="2:2" ht="13.2">
      <c r="B131" s="1"/>
    </row>
    <row r="132" spans="2:2" ht="13.2">
      <c r="B132" s="1"/>
    </row>
    <row r="133" spans="2:2" ht="13.2">
      <c r="B133" s="1"/>
    </row>
    <row r="134" spans="2:2" ht="13.2">
      <c r="B134" s="1"/>
    </row>
    <row r="135" spans="2:2" ht="13.2">
      <c r="B135" s="1"/>
    </row>
    <row r="136" spans="2:2" ht="13.2">
      <c r="B136" s="1"/>
    </row>
    <row r="137" spans="2:2" ht="13.2">
      <c r="B137" s="1"/>
    </row>
    <row r="138" spans="2:2" ht="13.2">
      <c r="B138" s="1"/>
    </row>
    <row r="139" spans="2:2" ht="13.2">
      <c r="B139" s="1"/>
    </row>
    <row r="140" spans="2:2" ht="13.2">
      <c r="B140" s="1"/>
    </row>
    <row r="141" spans="2:2" ht="13.2">
      <c r="B141" s="1"/>
    </row>
    <row r="142" spans="2:2" ht="13.2">
      <c r="B142" s="1"/>
    </row>
    <row r="143" spans="2:2" ht="13.2">
      <c r="B143" s="1"/>
    </row>
    <row r="144" spans="2:2" ht="13.2">
      <c r="B144" s="1"/>
    </row>
    <row r="145" spans="2:2" ht="13.2">
      <c r="B145" s="1"/>
    </row>
    <row r="146" spans="2:2" ht="13.2">
      <c r="B146" s="1"/>
    </row>
    <row r="147" spans="2:2" ht="13.2">
      <c r="B147" s="1"/>
    </row>
    <row r="148" spans="2:2" ht="13.2">
      <c r="B148" s="1"/>
    </row>
    <row r="149" spans="2:2" ht="13.2">
      <c r="B149" s="1"/>
    </row>
    <row r="150" spans="2:2" ht="13.2">
      <c r="B150" s="1"/>
    </row>
    <row r="151" spans="2:2" ht="13.2">
      <c r="B151" s="1"/>
    </row>
    <row r="152" spans="2:2" ht="13.2">
      <c r="B152" s="1"/>
    </row>
    <row r="153" spans="2:2" ht="13.2">
      <c r="B153" s="1"/>
    </row>
    <row r="154" spans="2:2" ht="13.2">
      <c r="B154" s="1"/>
    </row>
    <row r="155" spans="2:2" ht="13.2">
      <c r="B155" s="1"/>
    </row>
    <row r="156" spans="2:2" ht="13.2">
      <c r="B156" s="1"/>
    </row>
    <row r="157" spans="2:2" ht="13.2">
      <c r="B157" s="1"/>
    </row>
    <row r="158" spans="2:2" ht="13.2">
      <c r="B158" s="1"/>
    </row>
    <row r="159" spans="2:2" ht="13.2">
      <c r="B159" s="1"/>
    </row>
    <row r="160" spans="2:2" ht="13.2">
      <c r="B160" s="1"/>
    </row>
    <row r="161" spans="2:2" ht="13.2">
      <c r="B161" s="1"/>
    </row>
    <row r="162" spans="2:2" ht="13.2">
      <c r="B162" s="1"/>
    </row>
    <row r="163" spans="2:2" ht="13.2">
      <c r="B163" s="1"/>
    </row>
    <row r="164" spans="2:2" ht="13.2">
      <c r="B164" s="1"/>
    </row>
    <row r="165" spans="2:2" ht="13.2">
      <c r="B165" s="1"/>
    </row>
    <row r="166" spans="2:2" ht="13.2">
      <c r="B166" s="1"/>
    </row>
    <row r="167" spans="2:2" ht="13.2">
      <c r="B167" s="1"/>
    </row>
    <row r="168" spans="2:2" ht="13.2">
      <c r="B168" s="1"/>
    </row>
    <row r="169" spans="2:2" ht="13.2">
      <c r="B169" s="1"/>
    </row>
    <row r="170" spans="2:2" ht="13.2">
      <c r="B170" s="1"/>
    </row>
    <row r="171" spans="2:2" ht="13.2">
      <c r="B171" s="1"/>
    </row>
    <row r="172" spans="2:2" ht="13.2">
      <c r="B172" s="1"/>
    </row>
    <row r="173" spans="2:2" ht="13.2">
      <c r="B173" s="1"/>
    </row>
    <row r="174" spans="2:2" ht="13.2">
      <c r="B174" s="1"/>
    </row>
    <row r="175" spans="2:2" ht="13.2">
      <c r="B175" s="1"/>
    </row>
    <row r="176" spans="2:2" ht="13.2">
      <c r="B176" s="1"/>
    </row>
    <row r="177" spans="2:2" ht="13.2">
      <c r="B177" s="1"/>
    </row>
    <row r="178" spans="2:2" ht="13.2">
      <c r="B178" s="1"/>
    </row>
    <row r="179" spans="2:2" ht="13.2">
      <c r="B179" s="1"/>
    </row>
    <row r="180" spans="2:2" ht="13.2">
      <c r="B180" s="1"/>
    </row>
    <row r="181" spans="2:2" ht="13.2">
      <c r="B181" s="1"/>
    </row>
    <row r="182" spans="2:2" ht="13.2">
      <c r="B182" s="1"/>
    </row>
    <row r="183" spans="2:2" ht="13.2">
      <c r="B183" s="1"/>
    </row>
    <row r="184" spans="2:2" ht="13.2">
      <c r="B184" s="1"/>
    </row>
    <row r="185" spans="2:2" ht="13.2">
      <c r="B185" s="1"/>
    </row>
    <row r="186" spans="2:2" ht="13.2">
      <c r="B186" s="1"/>
    </row>
    <row r="187" spans="2:2" ht="13.2">
      <c r="B187" s="1"/>
    </row>
    <row r="188" spans="2:2" ht="13.2">
      <c r="B188" s="1"/>
    </row>
    <row r="189" spans="2:2" ht="13.2">
      <c r="B189" s="1"/>
    </row>
    <row r="190" spans="2:2" ht="13.2">
      <c r="B190" s="1"/>
    </row>
    <row r="191" spans="2:2" ht="13.2">
      <c r="B191" s="1"/>
    </row>
    <row r="192" spans="2:2" ht="13.2">
      <c r="B192" s="1"/>
    </row>
    <row r="193" spans="2:2" ht="13.2">
      <c r="B193" s="1"/>
    </row>
    <row r="194" spans="2:2" ht="13.2">
      <c r="B194" s="1"/>
    </row>
    <row r="195" spans="2:2" ht="13.2">
      <c r="B195" s="1"/>
    </row>
    <row r="196" spans="2:2" ht="13.2">
      <c r="B196" s="1"/>
    </row>
    <row r="197" spans="2:2" ht="13.2">
      <c r="B197" s="1"/>
    </row>
    <row r="198" spans="2:2" ht="13.2">
      <c r="B198" s="1"/>
    </row>
    <row r="199" spans="2:2" ht="13.2">
      <c r="B199" s="1"/>
    </row>
    <row r="200" spans="2:2" ht="13.2">
      <c r="B200" s="1"/>
    </row>
    <row r="201" spans="2:2" ht="13.2">
      <c r="B201" s="1"/>
    </row>
    <row r="202" spans="2:2" ht="13.2">
      <c r="B202" s="1"/>
    </row>
    <row r="203" spans="2:2" ht="13.2">
      <c r="B203" s="1"/>
    </row>
    <row r="204" spans="2:2" ht="13.2">
      <c r="B204" s="1"/>
    </row>
    <row r="205" spans="2:2" ht="13.2">
      <c r="B205" s="1"/>
    </row>
    <row r="206" spans="2:2" ht="13.2">
      <c r="B206" s="1"/>
    </row>
    <row r="207" spans="2:2" ht="13.2">
      <c r="B207" s="1"/>
    </row>
    <row r="208" spans="2:2" ht="13.2">
      <c r="B208" s="1"/>
    </row>
    <row r="209" spans="2:2" ht="13.2">
      <c r="B209" s="1"/>
    </row>
    <row r="210" spans="2:2" ht="13.2">
      <c r="B210" s="1"/>
    </row>
    <row r="211" spans="2:2" ht="13.2">
      <c r="B211" s="1"/>
    </row>
    <row r="212" spans="2:2" ht="13.2">
      <c r="B212" s="1"/>
    </row>
    <row r="213" spans="2:2" ht="13.2">
      <c r="B213" s="1"/>
    </row>
    <row r="214" spans="2:2" ht="13.2">
      <c r="B214" s="1"/>
    </row>
    <row r="215" spans="2:2" ht="13.2">
      <c r="B215" s="1"/>
    </row>
    <row r="216" spans="2:2" ht="13.2">
      <c r="B216" s="1"/>
    </row>
    <row r="217" spans="2:2" ht="13.2">
      <c r="B217" s="1"/>
    </row>
    <row r="218" spans="2:2" ht="13.2">
      <c r="B218" s="1"/>
    </row>
    <row r="219" spans="2:2" ht="13.2">
      <c r="B219" s="1"/>
    </row>
    <row r="220" spans="2:2" ht="13.2">
      <c r="B220" s="1"/>
    </row>
    <row r="221" spans="2:2" ht="13.2">
      <c r="B221" s="1"/>
    </row>
    <row r="222" spans="2:2" ht="13.2">
      <c r="B222" s="1"/>
    </row>
    <row r="223" spans="2:2" ht="13.2">
      <c r="B223" s="1"/>
    </row>
    <row r="224" spans="2:2" ht="13.2">
      <c r="B224" s="1"/>
    </row>
    <row r="225" spans="2:2" ht="13.2">
      <c r="B225" s="1"/>
    </row>
    <row r="226" spans="2:2" ht="13.2">
      <c r="B226" s="1"/>
    </row>
    <row r="227" spans="2:2" ht="13.2">
      <c r="B227" s="1"/>
    </row>
    <row r="228" spans="2:2" ht="13.2">
      <c r="B228" s="1"/>
    </row>
    <row r="229" spans="2:2" ht="13.2">
      <c r="B229" s="1"/>
    </row>
    <row r="230" spans="2:2" ht="13.2">
      <c r="B230" s="1"/>
    </row>
    <row r="231" spans="2:2" ht="13.2">
      <c r="B231" s="1"/>
    </row>
    <row r="232" spans="2:2" ht="13.2">
      <c r="B232" s="1"/>
    </row>
    <row r="233" spans="2:2" ht="13.2">
      <c r="B233" s="1"/>
    </row>
    <row r="234" spans="2:2" ht="13.2">
      <c r="B234" s="1"/>
    </row>
    <row r="235" spans="2:2" ht="13.2">
      <c r="B235" s="1"/>
    </row>
    <row r="236" spans="2:2" ht="13.2">
      <c r="B236" s="1"/>
    </row>
    <row r="237" spans="2:2" ht="13.2">
      <c r="B237" s="1"/>
    </row>
    <row r="238" spans="2:2" ht="13.2">
      <c r="B238" s="1"/>
    </row>
    <row r="239" spans="2:2" ht="13.2">
      <c r="B239" s="1"/>
    </row>
    <row r="240" spans="2:2" ht="13.2">
      <c r="B240" s="1"/>
    </row>
    <row r="241" spans="2:2" ht="13.2">
      <c r="B241" s="1"/>
    </row>
    <row r="242" spans="2:2" ht="13.2">
      <c r="B242" s="1"/>
    </row>
    <row r="243" spans="2:2" ht="13.2">
      <c r="B243" s="1"/>
    </row>
    <row r="244" spans="2:2" ht="13.2">
      <c r="B244" s="1"/>
    </row>
    <row r="245" spans="2:2" ht="13.2">
      <c r="B245" s="1"/>
    </row>
    <row r="246" spans="2:2" ht="13.2">
      <c r="B246" s="1"/>
    </row>
    <row r="247" spans="2:2" ht="13.2">
      <c r="B247" s="1"/>
    </row>
    <row r="248" spans="2:2" ht="13.2">
      <c r="B248" s="1"/>
    </row>
    <row r="249" spans="2:2" ht="13.2">
      <c r="B249" s="1"/>
    </row>
    <row r="250" spans="2:2" ht="13.2">
      <c r="B250" s="1"/>
    </row>
    <row r="251" spans="2:2" ht="13.2">
      <c r="B251" s="1"/>
    </row>
    <row r="252" spans="2:2" ht="13.2">
      <c r="B252" s="1"/>
    </row>
    <row r="253" spans="2:2" ht="13.2">
      <c r="B253" s="1"/>
    </row>
    <row r="254" spans="2:2" ht="13.2">
      <c r="B254" s="1"/>
    </row>
    <row r="255" spans="2:2" ht="13.2">
      <c r="B255" s="1"/>
    </row>
    <row r="256" spans="2:2" ht="13.2">
      <c r="B256" s="1"/>
    </row>
    <row r="257" spans="2:2" ht="13.2">
      <c r="B257" s="1"/>
    </row>
    <row r="258" spans="2:2" ht="13.2">
      <c r="B258" s="1"/>
    </row>
    <row r="259" spans="2:2" ht="13.2">
      <c r="B259" s="1"/>
    </row>
    <row r="260" spans="2:2" ht="13.2">
      <c r="B260" s="1"/>
    </row>
    <row r="261" spans="2:2" ht="13.2">
      <c r="B261" s="1"/>
    </row>
    <row r="262" spans="2:2" ht="13.2">
      <c r="B262" s="1"/>
    </row>
    <row r="263" spans="2:2" ht="13.2">
      <c r="B263" s="1"/>
    </row>
    <row r="264" spans="2:2" ht="13.2">
      <c r="B264" s="1"/>
    </row>
    <row r="265" spans="2:2" ht="13.2">
      <c r="B265" s="1"/>
    </row>
    <row r="266" spans="2:2" ht="13.2">
      <c r="B266" s="1"/>
    </row>
    <row r="267" spans="2:2" ht="13.2">
      <c r="B267" s="1"/>
    </row>
    <row r="268" spans="2:2" ht="13.2">
      <c r="B268" s="1"/>
    </row>
    <row r="269" spans="2:2" ht="13.2">
      <c r="B269" s="1"/>
    </row>
    <row r="270" spans="2:2" ht="13.2">
      <c r="B270" s="1"/>
    </row>
    <row r="271" spans="2:2" ht="13.2">
      <c r="B271" s="1"/>
    </row>
    <row r="272" spans="2:2" ht="13.2">
      <c r="B272" s="1"/>
    </row>
    <row r="273" spans="2:2" ht="13.2">
      <c r="B273" s="1"/>
    </row>
    <row r="274" spans="2:2" ht="13.2">
      <c r="B274" s="1"/>
    </row>
    <row r="275" spans="2:2" ht="13.2">
      <c r="B275" s="1"/>
    </row>
    <row r="276" spans="2:2" ht="13.2">
      <c r="B276" s="1"/>
    </row>
    <row r="277" spans="2:2" ht="13.2">
      <c r="B277" s="1"/>
    </row>
    <row r="278" spans="2:2" ht="13.2">
      <c r="B278" s="1"/>
    </row>
    <row r="279" spans="2:2" ht="13.2">
      <c r="B279" s="1"/>
    </row>
    <row r="280" spans="2:2" ht="13.2">
      <c r="B280" s="1"/>
    </row>
    <row r="281" spans="2:2" ht="13.2">
      <c r="B281" s="1"/>
    </row>
    <row r="282" spans="2:2" ht="13.2">
      <c r="B282" s="1"/>
    </row>
    <row r="283" spans="2:2" ht="13.2">
      <c r="B283" s="1"/>
    </row>
    <row r="284" spans="2:2" ht="13.2">
      <c r="B284" s="1"/>
    </row>
    <row r="285" spans="2:2" ht="13.2">
      <c r="B285" s="1"/>
    </row>
    <row r="286" spans="2:2" ht="13.2">
      <c r="B286" s="1"/>
    </row>
    <row r="287" spans="2:2" ht="13.2">
      <c r="B287" s="1"/>
    </row>
    <row r="288" spans="2:2" ht="13.2">
      <c r="B288" s="1"/>
    </row>
    <row r="289" spans="2:2" ht="13.2">
      <c r="B289" s="1"/>
    </row>
    <row r="290" spans="2:2" ht="13.2">
      <c r="B290" s="1"/>
    </row>
    <row r="291" spans="2:2" ht="13.2">
      <c r="B291" s="1"/>
    </row>
    <row r="292" spans="2:2" ht="13.2">
      <c r="B292" s="1"/>
    </row>
    <row r="293" spans="2:2" ht="13.2">
      <c r="B293" s="1"/>
    </row>
    <row r="294" spans="2:2" ht="13.2">
      <c r="B294" s="1"/>
    </row>
    <row r="295" spans="2:2" ht="13.2">
      <c r="B295" s="1"/>
    </row>
    <row r="296" spans="2:2" ht="13.2">
      <c r="B296" s="1"/>
    </row>
    <row r="297" spans="2:2" ht="13.2">
      <c r="B297" s="1"/>
    </row>
    <row r="298" spans="2:2" ht="13.2">
      <c r="B298" s="1"/>
    </row>
    <row r="299" spans="2:2" ht="13.2">
      <c r="B299" s="1"/>
    </row>
    <row r="300" spans="2:2" ht="13.2">
      <c r="B300" s="1"/>
    </row>
    <row r="301" spans="2:2" ht="13.2">
      <c r="B301" s="1"/>
    </row>
    <row r="302" spans="2:2" ht="13.2">
      <c r="B302" s="1"/>
    </row>
    <row r="303" spans="2:2" ht="13.2">
      <c r="B303" s="1"/>
    </row>
    <row r="304" spans="2:2" ht="13.2">
      <c r="B304" s="1"/>
    </row>
    <row r="305" spans="2:2" ht="13.2">
      <c r="B305" s="1"/>
    </row>
    <row r="306" spans="2:2" ht="13.2">
      <c r="B306" s="1"/>
    </row>
    <row r="307" spans="2:2" ht="13.2">
      <c r="B307" s="1"/>
    </row>
    <row r="308" spans="2:2" ht="13.2">
      <c r="B308" s="1"/>
    </row>
    <row r="309" spans="2:2" ht="13.2">
      <c r="B309" s="1"/>
    </row>
    <row r="310" spans="2:2" ht="13.2">
      <c r="B310" s="1"/>
    </row>
    <row r="311" spans="2:2" ht="13.2">
      <c r="B311" s="1"/>
    </row>
    <row r="312" spans="2:2" ht="13.2">
      <c r="B312" s="1"/>
    </row>
    <row r="313" spans="2:2" ht="13.2">
      <c r="B313" s="1"/>
    </row>
    <row r="314" spans="2:2" ht="13.2">
      <c r="B314" s="1"/>
    </row>
    <row r="315" spans="2:2" ht="13.2">
      <c r="B315" s="1"/>
    </row>
    <row r="316" spans="2:2" ht="13.2">
      <c r="B316" s="1"/>
    </row>
    <row r="317" spans="2:2" ht="13.2">
      <c r="B317" s="1"/>
    </row>
    <row r="318" spans="2:2" ht="13.2">
      <c r="B318" s="1"/>
    </row>
    <row r="319" spans="2:2" ht="13.2">
      <c r="B319" s="1"/>
    </row>
    <row r="320" spans="2:2" ht="13.2">
      <c r="B320" s="1"/>
    </row>
    <row r="321" spans="2:2" ht="13.2">
      <c r="B321" s="1"/>
    </row>
    <row r="322" spans="2:2" ht="13.2">
      <c r="B322" s="1"/>
    </row>
    <row r="323" spans="2:2" ht="13.2">
      <c r="B323" s="1"/>
    </row>
    <row r="324" spans="2:2" ht="13.2">
      <c r="B324" s="1"/>
    </row>
    <row r="325" spans="2:2" ht="13.2">
      <c r="B325" s="1"/>
    </row>
    <row r="326" spans="2:2" ht="13.2">
      <c r="B326" s="1"/>
    </row>
    <row r="327" spans="2:2" ht="13.2">
      <c r="B327" s="1"/>
    </row>
    <row r="328" spans="2:2" ht="13.2">
      <c r="B328" s="1"/>
    </row>
    <row r="329" spans="2:2" ht="13.2">
      <c r="B329" s="1"/>
    </row>
    <row r="330" spans="2:2" ht="13.2">
      <c r="B330" s="1"/>
    </row>
    <row r="331" spans="2:2" ht="13.2">
      <c r="B331" s="1"/>
    </row>
    <row r="332" spans="2:2" ht="13.2">
      <c r="B332" s="1"/>
    </row>
    <row r="333" spans="2:2" ht="13.2">
      <c r="B333" s="1"/>
    </row>
    <row r="334" spans="2:2" ht="13.2">
      <c r="B334" s="1"/>
    </row>
    <row r="335" spans="2:2" ht="13.2">
      <c r="B335" s="1"/>
    </row>
    <row r="336" spans="2:2" ht="13.2">
      <c r="B336" s="1"/>
    </row>
    <row r="337" spans="2:2" ht="13.2">
      <c r="B337" s="1"/>
    </row>
    <row r="338" spans="2:2" ht="13.2">
      <c r="B338" s="1"/>
    </row>
    <row r="339" spans="2:2" ht="13.2">
      <c r="B339" s="1"/>
    </row>
    <row r="340" spans="2:2" ht="13.2">
      <c r="B340" s="1"/>
    </row>
    <row r="341" spans="2:2" ht="13.2">
      <c r="B341" s="1"/>
    </row>
    <row r="342" spans="2:2" ht="13.2">
      <c r="B342" s="1"/>
    </row>
    <row r="343" spans="2:2" ht="13.2">
      <c r="B343" s="1"/>
    </row>
    <row r="344" spans="2:2" ht="13.2">
      <c r="B344" s="1"/>
    </row>
    <row r="345" spans="2:2" ht="13.2">
      <c r="B345" s="1"/>
    </row>
    <row r="346" spans="2:2" ht="13.2">
      <c r="B346" s="1"/>
    </row>
    <row r="347" spans="2:2" ht="13.2">
      <c r="B347" s="1"/>
    </row>
    <row r="348" spans="2:2" ht="13.2">
      <c r="B348" s="1"/>
    </row>
    <row r="349" spans="2:2" ht="13.2">
      <c r="B349" s="1"/>
    </row>
    <row r="350" spans="2:2" ht="13.2">
      <c r="B350" s="1"/>
    </row>
    <row r="351" spans="2:2" ht="13.2">
      <c r="B351" s="1"/>
    </row>
    <row r="352" spans="2:2" ht="13.2">
      <c r="B352" s="1"/>
    </row>
    <row r="353" spans="2:2" ht="13.2">
      <c r="B353" s="1"/>
    </row>
    <row r="354" spans="2:2" ht="13.2">
      <c r="B354" s="1"/>
    </row>
    <row r="355" spans="2:2" ht="13.2">
      <c r="B355" s="1"/>
    </row>
    <row r="356" spans="2:2" ht="13.2">
      <c r="B356" s="1"/>
    </row>
    <row r="357" spans="2:2" ht="13.2">
      <c r="B357" s="1"/>
    </row>
    <row r="358" spans="2:2" ht="13.2">
      <c r="B358" s="1"/>
    </row>
    <row r="359" spans="2:2" ht="13.2">
      <c r="B359" s="1"/>
    </row>
    <row r="360" spans="2:2" ht="13.2">
      <c r="B360" s="1"/>
    </row>
    <row r="361" spans="2:2" ht="13.2">
      <c r="B361" s="1"/>
    </row>
    <row r="362" spans="2:2" ht="13.2">
      <c r="B362" s="1"/>
    </row>
    <row r="363" spans="2:2" ht="13.2">
      <c r="B363" s="1"/>
    </row>
    <row r="364" spans="2:2" ht="13.2">
      <c r="B364" s="1"/>
    </row>
    <row r="365" spans="2:2" ht="13.2">
      <c r="B365" s="1"/>
    </row>
    <row r="366" spans="2:2" ht="13.2">
      <c r="B366" s="1"/>
    </row>
    <row r="367" spans="2:2" ht="13.2">
      <c r="B367" s="1"/>
    </row>
    <row r="368" spans="2:2" ht="13.2">
      <c r="B368" s="1"/>
    </row>
    <row r="369" spans="2:2" ht="13.2">
      <c r="B369" s="1"/>
    </row>
    <row r="370" spans="2:2" ht="13.2">
      <c r="B370" s="1"/>
    </row>
    <row r="371" spans="2:2" ht="13.2">
      <c r="B371" s="1"/>
    </row>
    <row r="372" spans="2:2" ht="13.2">
      <c r="B372" s="1"/>
    </row>
    <row r="373" spans="2:2" ht="13.2">
      <c r="B373" s="1"/>
    </row>
    <row r="374" spans="2:2" ht="13.2">
      <c r="B374" s="1"/>
    </row>
    <row r="375" spans="2:2" ht="13.2">
      <c r="B375" s="1"/>
    </row>
    <row r="376" spans="2:2" ht="13.2">
      <c r="B376" s="1"/>
    </row>
    <row r="377" spans="2:2" ht="13.2">
      <c r="B377" s="1"/>
    </row>
    <row r="378" spans="2:2" ht="13.2">
      <c r="B378" s="1"/>
    </row>
    <row r="379" spans="2:2" ht="13.2">
      <c r="B379" s="1"/>
    </row>
    <row r="380" spans="2:2" ht="13.2">
      <c r="B380" s="1"/>
    </row>
    <row r="381" spans="2:2" ht="13.2">
      <c r="B381" s="1"/>
    </row>
    <row r="382" spans="2:2" ht="13.2">
      <c r="B382" s="1"/>
    </row>
    <row r="383" spans="2:2" ht="13.2">
      <c r="B383" s="1"/>
    </row>
    <row r="384" spans="2:2" ht="13.2">
      <c r="B384" s="1"/>
    </row>
    <row r="385" spans="2:2" ht="13.2">
      <c r="B385" s="1"/>
    </row>
    <row r="386" spans="2:2" ht="13.2">
      <c r="B386" s="1"/>
    </row>
    <row r="387" spans="2:2" ht="13.2">
      <c r="B387" s="1"/>
    </row>
    <row r="388" spans="2:2" ht="13.2">
      <c r="B388" s="1"/>
    </row>
    <row r="389" spans="2:2" ht="13.2">
      <c r="B389" s="1"/>
    </row>
    <row r="390" spans="2:2" ht="13.2">
      <c r="B390" s="1"/>
    </row>
    <row r="391" spans="2:2" ht="13.2">
      <c r="B391" s="1"/>
    </row>
    <row r="392" spans="2:2" ht="13.2">
      <c r="B392" s="1"/>
    </row>
    <row r="393" spans="2:2" ht="13.2">
      <c r="B393" s="1"/>
    </row>
    <row r="394" spans="2:2" ht="13.2">
      <c r="B394" s="1"/>
    </row>
    <row r="395" spans="2:2" ht="13.2">
      <c r="B395" s="1"/>
    </row>
    <row r="396" spans="2:2" ht="13.2">
      <c r="B396" s="1"/>
    </row>
    <row r="397" spans="2:2" ht="13.2">
      <c r="B397" s="1"/>
    </row>
    <row r="398" spans="2:2" ht="13.2">
      <c r="B398" s="1"/>
    </row>
    <row r="399" spans="2:2" ht="13.2">
      <c r="B399" s="1"/>
    </row>
    <row r="400" spans="2:2" ht="13.2">
      <c r="B400" s="1"/>
    </row>
    <row r="401" spans="2:2" ht="13.2">
      <c r="B401" s="1"/>
    </row>
    <row r="402" spans="2:2" ht="13.2">
      <c r="B402" s="1"/>
    </row>
    <row r="403" spans="2:2" ht="13.2">
      <c r="B403" s="1"/>
    </row>
    <row r="404" spans="2:2" ht="13.2">
      <c r="B404" s="1"/>
    </row>
    <row r="405" spans="2:2" ht="13.2">
      <c r="B405" s="1"/>
    </row>
    <row r="406" spans="2:2" ht="13.2">
      <c r="B406" s="1"/>
    </row>
    <row r="407" spans="2:2" ht="13.2">
      <c r="B407" s="1"/>
    </row>
    <row r="408" spans="2:2" ht="13.2">
      <c r="B408" s="1"/>
    </row>
    <row r="409" spans="2:2" ht="13.2">
      <c r="B409" s="1"/>
    </row>
    <row r="410" spans="2:2" ht="13.2">
      <c r="B410" s="1"/>
    </row>
    <row r="411" spans="2:2" ht="13.2">
      <c r="B411" s="1"/>
    </row>
    <row r="412" spans="2:2" ht="13.2">
      <c r="B412" s="1"/>
    </row>
    <row r="413" spans="2:2" ht="13.2">
      <c r="B413" s="1"/>
    </row>
    <row r="414" spans="2:2" ht="13.2">
      <c r="B414" s="1"/>
    </row>
    <row r="415" spans="2:2" ht="13.2">
      <c r="B415" s="1"/>
    </row>
    <row r="416" spans="2:2" ht="13.2">
      <c r="B416" s="1"/>
    </row>
    <row r="417" spans="2:2" ht="13.2">
      <c r="B417" s="1"/>
    </row>
    <row r="418" spans="2:2" ht="13.2">
      <c r="B418" s="1"/>
    </row>
    <row r="419" spans="2:2" ht="13.2">
      <c r="B419" s="1"/>
    </row>
    <row r="420" spans="2:2" ht="13.2">
      <c r="B420" s="1"/>
    </row>
    <row r="421" spans="2:2" ht="13.2">
      <c r="B421" s="1"/>
    </row>
    <row r="422" spans="2:2" ht="13.2">
      <c r="B422" s="1"/>
    </row>
    <row r="423" spans="2:2" ht="13.2">
      <c r="B423" s="1"/>
    </row>
    <row r="424" spans="2:2" ht="13.2">
      <c r="B424" s="1"/>
    </row>
    <row r="425" spans="2:2" ht="13.2">
      <c r="B425" s="1"/>
    </row>
    <row r="426" spans="2:2" ht="13.2">
      <c r="B426" s="1"/>
    </row>
    <row r="427" spans="2:2" ht="13.2">
      <c r="B427" s="1"/>
    </row>
    <row r="428" spans="2:2" ht="13.2">
      <c r="B428" s="1"/>
    </row>
    <row r="429" spans="2:2" ht="13.2">
      <c r="B429" s="1"/>
    </row>
    <row r="430" spans="2:2" ht="13.2">
      <c r="B430" s="1"/>
    </row>
    <row r="431" spans="2:2" ht="13.2">
      <c r="B431" s="1"/>
    </row>
    <row r="432" spans="2:2" ht="13.2">
      <c r="B432" s="1"/>
    </row>
    <row r="433" spans="2:2" ht="13.2">
      <c r="B433" s="1"/>
    </row>
    <row r="434" spans="2:2" ht="13.2">
      <c r="B434" s="1"/>
    </row>
    <row r="435" spans="2:2" ht="13.2">
      <c r="B435" s="1"/>
    </row>
    <row r="436" spans="2:2" ht="13.2">
      <c r="B436" s="1"/>
    </row>
    <row r="437" spans="2:2" ht="13.2">
      <c r="B437" s="1"/>
    </row>
    <row r="438" spans="2:2" ht="13.2">
      <c r="B438" s="1"/>
    </row>
    <row r="439" spans="2:2" ht="13.2">
      <c r="B439" s="1"/>
    </row>
    <row r="440" spans="2:2" ht="13.2">
      <c r="B440" s="1"/>
    </row>
    <row r="441" spans="2:2" ht="13.2">
      <c r="B441" s="1"/>
    </row>
    <row r="442" spans="2:2" ht="13.2">
      <c r="B442" s="1"/>
    </row>
    <row r="443" spans="2:2" ht="13.2">
      <c r="B443" s="1"/>
    </row>
    <row r="444" spans="2:2" ht="13.2">
      <c r="B444" s="1"/>
    </row>
    <row r="445" spans="2:2" ht="13.2">
      <c r="B445" s="1"/>
    </row>
    <row r="446" spans="2:2" ht="13.2">
      <c r="B446" s="1"/>
    </row>
    <row r="447" spans="2:2" ht="13.2">
      <c r="B447" s="1"/>
    </row>
    <row r="448" spans="2:2" ht="13.2">
      <c r="B448" s="1"/>
    </row>
    <row r="449" spans="2:2" ht="13.2">
      <c r="B449" s="1"/>
    </row>
    <row r="450" spans="2:2" ht="13.2">
      <c r="B450" s="1"/>
    </row>
    <row r="451" spans="2:2" ht="13.2">
      <c r="B451" s="1"/>
    </row>
    <row r="452" spans="2:2" ht="13.2">
      <c r="B452" s="1"/>
    </row>
    <row r="453" spans="2:2" ht="13.2">
      <c r="B453" s="1"/>
    </row>
    <row r="454" spans="2:2" ht="13.2">
      <c r="B454" s="1"/>
    </row>
    <row r="455" spans="2:2" ht="13.2">
      <c r="B455" s="1"/>
    </row>
    <row r="456" spans="2:2" ht="13.2">
      <c r="B456" s="1"/>
    </row>
    <row r="457" spans="2:2" ht="13.2">
      <c r="B457" s="1"/>
    </row>
    <row r="458" spans="2:2" ht="13.2">
      <c r="B458" s="1"/>
    </row>
    <row r="459" spans="2:2" ht="13.2">
      <c r="B459" s="1"/>
    </row>
    <row r="460" spans="2:2" ht="13.2">
      <c r="B460" s="1"/>
    </row>
    <row r="461" spans="2:2" ht="13.2">
      <c r="B461" s="1"/>
    </row>
    <row r="462" spans="2:2" ht="13.2">
      <c r="B462" s="1"/>
    </row>
    <row r="463" spans="2:2" ht="13.2">
      <c r="B463" s="1"/>
    </row>
    <row r="464" spans="2:2" ht="13.2">
      <c r="B464" s="1"/>
    </row>
    <row r="465" spans="2:2" ht="13.2">
      <c r="B465" s="1"/>
    </row>
    <row r="466" spans="2:2" ht="13.2">
      <c r="B466" s="1"/>
    </row>
    <row r="467" spans="2:2" ht="13.2">
      <c r="B467" s="1"/>
    </row>
    <row r="468" spans="2:2" ht="13.2">
      <c r="B468" s="1"/>
    </row>
    <row r="469" spans="2:2" ht="13.2">
      <c r="B469" s="1"/>
    </row>
    <row r="470" spans="2:2" ht="13.2">
      <c r="B470" s="1"/>
    </row>
    <row r="471" spans="2:2" ht="13.2">
      <c r="B471" s="1"/>
    </row>
    <row r="472" spans="2:2" ht="13.2">
      <c r="B472" s="1"/>
    </row>
    <row r="473" spans="2:2" ht="13.2">
      <c r="B473" s="1"/>
    </row>
    <row r="474" spans="2:2" ht="13.2">
      <c r="B474" s="1"/>
    </row>
    <row r="475" spans="2:2" ht="13.2">
      <c r="B475" s="1"/>
    </row>
    <row r="476" spans="2:2" ht="13.2">
      <c r="B476" s="1"/>
    </row>
    <row r="477" spans="2:2" ht="13.2">
      <c r="B477" s="1"/>
    </row>
    <row r="478" spans="2:2" ht="13.2">
      <c r="B478" s="1"/>
    </row>
    <row r="479" spans="2:2" ht="13.2">
      <c r="B479" s="1"/>
    </row>
    <row r="480" spans="2:2" ht="13.2">
      <c r="B480" s="1"/>
    </row>
    <row r="481" spans="2:2" ht="13.2">
      <c r="B481" s="1"/>
    </row>
    <row r="482" spans="2:2" ht="13.2">
      <c r="B482" s="1"/>
    </row>
    <row r="483" spans="2:2" ht="13.2">
      <c r="B483" s="1"/>
    </row>
    <row r="484" spans="2:2" ht="13.2">
      <c r="B484" s="1"/>
    </row>
    <row r="485" spans="2:2" ht="13.2">
      <c r="B485" s="1"/>
    </row>
    <row r="486" spans="2:2" ht="13.2">
      <c r="B486" s="1"/>
    </row>
    <row r="487" spans="2:2" ht="13.2">
      <c r="B487" s="1"/>
    </row>
    <row r="488" spans="2:2" ht="13.2">
      <c r="B488" s="1"/>
    </row>
    <row r="489" spans="2:2" ht="13.2">
      <c r="B489" s="1"/>
    </row>
    <row r="490" spans="2:2" ht="13.2">
      <c r="B490" s="1"/>
    </row>
    <row r="491" spans="2:2" ht="13.2">
      <c r="B491" s="1"/>
    </row>
    <row r="492" spans="2:2" ht="13.2">
      <c r="B492" s="1"/>
    </row>
    <row r="493" spans="2:2" ht="13.2">
      <c r="B493" s="1"/>
    </row>
    <row r="494" spans="2:2" ht="13.2">
      <c r="B494" s="1"/>
    </row>
    <row r="495" spans="2:2" ht="13.2">
      <c r="B495" s="1"/>
    </row>
    <row r="496" spans="2:2" ht="13.2">
      <c r="B496" s="1"/>
    </row>
    <row r="497" spans="2:2" ht="13.2">
      <c r="B497" s="1"/>
    </row>
    <row r="498" spans="2:2" ht="13.2">
      <c r="B498" s="1"/>
    </row>
    <row r="499" spans="2:2" ht="13.2">
      <c r="B499" s="1"/>
    </row>
    <row r="500" spans="2:2" ht="13.2">
      <c r="B500" s="1"/>
    </row>
    <row r="501" spans="2:2" ht="13.2">
      <c r="B501" s="1"/>
    </row>
    <row r="502" spans="2:2" ht="13.2">
      <c r="B502" s="1"/>
    </row>
    <row r="503" spans="2:2" ht="13.2">
      <c r="B503" s="1"/>
    </row>
    <row r="504" spans="2:2" ht="13.2">
      <c r="B504" s="1"/>
    </row>
    <row r="505" spans="2:2" ht="13.2">
      <c r="B505" s="1"/>
    </row>
    <row r="506" spans="2:2" ht="13.2">
      <c r="B506" s="1"/>
    </row>
    <row r="507" spans="2:2" ht="13.2">
      <c r="B507" s="1"/>
    </row>
    <row r="508" spans="2:2" ht="13.2">
      <c r="B508" s="1"/>
    </row>
    <row r="509" spans="2:2" ht="13.2">
      <c r="B509" s="1"/>
    </row>
    <row r="510" spans="2:2" ht="13.2">
      <c r="B510" s="1"/>
    </row>
    <row r="511" spans="2:2" ht="13.2">
      <c r="B511" s="1"/>
    </row>
    <row r="512" spans="2:2" ht="13.2">
      <c r="B512" s="1"/>
    </row>
    <row r="513" spans="2:2" ht="13.2">
      <c r="B513" s="1"/>
    </row>
    <row r="514" spans="2:2" ht="13.2">
      <c r="B514" s="1"/>
    </row>
    <row r="515" spans="2:2" ht="13.2">
      <c r="B515" s="1"/>
    </row>
    <row r="516" spans="2:2" ht="13.2">
      <c r="B516" s="1"/>
    </row>
    <row r="517" spans="2:2" ht="13.2">
      <c r="B517" s="1"/>
    </row>
    <row r="518" spans="2:2" ht="13.2">
      <c r="B518" s="1"/>
    </row>
    <row r="519" spans="2:2" ht="13.2">
      <c r="B519" s="1"/>
    </row>
    <row r="520" spans="2:2" ht="13.2">
      <c r="B520" s="1"/>
    </row>
    <row r="521" spans="2:2" ht="13.2">
      <c r="B521" s="1"/>
    </row>
    <row r="522" spans="2:2" ht="13.2">
      <c r="B522" s="1"/>
    </row>
    <row r="523" spans="2:2" ht="13.2">
      <c r="B523" s="1"/>
    </row>
    <row r="524" spans="2:2" ht="13.2">
      <c r="B524" s="1"/>
    </row>
    <row r="525" spans="2:2" ht="13.2">
      <c r="B525" s="1"/>
    </row>
    <row r="526" spans="2:2" ht="13.2">
      <c r="B526" s="1"/>
    </row>
    <row r="527" spans="2:2" ht="13.2">
      <c r="B527" s="1"/>
    </row>
    <row r="528" spans="2:2" ht="13.2">
      <c r="B528" s="1"/>
    </row>
    <row r="529" spans="2:2" ht="13.2">
      <c r="B529" s="1"/>
    </row>
    <row r="530" spans="2:2" ht="13.2">
      <c r="B530" s="1"/>
    </row>
    <row r="531" spans="2:2" ht="13.2">
      <c r="B531" s="1"/>
    </row>
    <row r="532" spans="2:2" ht="13.2">
      <c r="B532" s="1"/>
    </row>
    <row r="533" spans="2:2" ht="13.2">
      <c r="B533" s="1"/>
    </row>
    <row r="534" spans="2:2" ht="13.2">
      <c r="B534" s="1"/>
    </row>
    <row r="535" spans="2:2" ht="13.2">
      <c r="B535" s="1"/>
    </row>
    <row r="536" spans="2:2" ht="13.2">
      <c r="B536" s="1"/>
    </row>
    <row r="537" spans="2:2" ht="13.2">
      <c r="B537" s="1"/>
    </row>
    <row r="538" spans="2:2" ht="13.2">
      <c r="B538" s="1"/>
    </row>
    <row r="539" spans="2:2" ht="13.2">
      <c r="B539" s="1"/>
    </row>
    <row r="540" spans="2:2" ht="13.2">
      <c r="B540" s="1"/>
    </row>
    <row r="541" spans="2:2" ht="13.2">
      <c r="B541" s="1"/>
    </row>
    <row r="542" spans="2:2" ht="13.2">
      <c r="B542" s="1"/>
    </row>
    <row r="543" spans="2:2" ht="13.2">
      <c r="B543" s="1"/>
    </row>
    <row r="544" spans="2:2" ht="13.2">
      <c r="B544" s="1"/>
    </row>
    <row r="545" spans="2:2" ht="13.2">
      <c r="B545" s="1"/>
    </row>
    <row r="546" spans="2:2" ht="13.2">
      <c r="B546" s="1"/>
    </row>
    <row r="547" spans="2:2" ht="13.2">
      <c r="B547" s="1"/>
    </row>
    <row r="548" spans="2:2" ht="13.2">
      <c r="B548" s="1"/>
    </row>
    <row r="549" spans="2:2" ht="13.2">
      <c r="B549" s="1"/>
    </row>
    <row r="550" spans="2:2" ht="13.2">
      <c r="B550" s="1"/>
    </row>
    <row r="551" spans="2:2" ht="13.2">
      <c r="B551" s="1"/>
    </row>
    <row r="552" spans="2:2" ht="13.2">
      <c r="B552" s="1"/>
    </row>
    <row r="553" spans="2:2" ht="13.2">
      <c r="B553" s="1"/>
    </row>
    <row r="554" spans="2:2" ht="13.2">
      <c r="B554" s="1"/>
    </row>
    <row r="555" spans="2:2" ht="13.2">
      <c r="B555" s="1"/>
    </row>
    <row r="556" spans="2:2" ht="13.2">
      <c r="B556" s="1"/>
    </row>
    <row r="557" spans="2:2" ht="13.2">
      <c r="B557" s="1"/>
    </row>
    <row r="558" spans="2:2" ht="13.2">
      <c r="B558" s="1"/>
    </row>
    <row r="559" spans="2:2" ht="13.2">
      <c r="B559" s="1"/>
    </row>
    <row r="560" spans="2:2" ht="13.2">
      <c r="B560" s="1"/>
    </row>
    <row r="561" spans="2:2" ht="13.2">
      <c r="B561" s="1"/>
    </row>
    <row r="562" spans="2:2" ht="13.2">
      <c r="B562" s="1"/>
    </row>
    <row r="563" spans="2:2" ht="13.2">
      <c r="B563" s="1"/>
    </row>
    <row r="564" spans="2:2" ht="13.2">
      <c r="B564" s="1"/>
    </row>
    <row r="565" spans="2:2" ht="13.2">
      <c r="B565" s="1"/>
    </row>
    <row r="566" spans="2:2" ht="13.2">
      <c r="B566" s="1"/>
    </row>
    <row r="567" spans="2:2" ht="13.2">
      <c r="B567" s="1"/>
    </row>
    <row r="568" spans="2:2" ht="13.2">
      <c r="B568" s="1"/>
    </row>
    <row r="569" spans="2:2" ht="13.2">
      <c r="B569" s="1"/>
    </row>
    <row r="570" spans="2:2" ht="13.2">
      <c r="B570" s="1"/>
    </row>
    <row r="571" spans="2:2" ht="13.2">
      <c r="B571" s="1"/>
    </row>
    <row r="572" spans="2:2" ht="13.2">
      <c r="B572" s="1"/>
    </row>
    <row r="573" spans="2:2" ht="13.2">
      <c r="B573" s="1"/>
    </row>
    <row r="574" spans="2:2" ht="13.2">
      <c r="B574" s="1"/>
    </row>
    <row r="575" spans="2:2" ht="13.2">
      <c r="B575" s="1"/>
    </row>
    <row r="576" spans="2:2" ht="13.2">
      <c r="B576" s="1"/>
    </row>
    <row r="577" spans="2:2" ht="13.2">
      <c r="B577" s="1"/>
    </row>
    <row r="578" spans="2:2" ht="13.2">
      <c r="B578" s="1"/>
    </row>
    <row r="579" spans="2:2" ht="13.2">
      <c r="B579" s="1"/>
    </row>
    <row r="580" spans="2:2" ht="13.2">
      <c r="B580" s="1"/>
    </row>
    <row r="581" spans="2:2" ht="13.2">
      <c r="B581" s="1"/>
    </row>
    <row r="582" spans="2:2" ht="13.2">
      <c r="B582" s="1"/>
    </row>
    <row r="583" spans="2:2" ht="13.2">
      <c r="B583" s="1"/>
    </row>
    <row r="584" spans="2:2" ht="13.2">
      <c r="B584" s="1"/>
    </row>
    <row r="585" spans="2:2" ht="13.2">
      <c r="B585" s="1"/>
    </row>
    <row r="586" spans="2:2" ht="13.2">
      <c r="B586" s="1"/>
    </row>
    <row r="587" spans="2:2" ht="13.2">
      <c r="B587" s="1"/>
    </row>
    <row r="588" spans="2:2" ht="13.2">
      <c r="B588" s="1"/>
    </row>
    <row r="589" spans="2:2" ht="13.2">
      <c r="B589" s="1"/>
    </row>
    <row r="590" spans="2:2" ht="13.2">
      <c r="B590" s="1"/>
    </row>
    <row r="591" spans="2:2" ht="13.2">
      <c r="B591" s="1"/>
    </row>
    <row r="592" spans="2:2" ht="13.2">
      <c r="B592" s="1"/>
    </row>
    <row r="593" spans="2:2" ht="13.2">
      <c r="B593" s="1"/>
    </row>
    <row r="594" spans="2:2" ht="13.2">
      <c r="B594" s="1"/>
    </row>
    <row r="595" spans="2:2" ht="13.2">
      <c r="B595" s="1"/>
    </row>
    <row r="596" spans="2:2" ht="13.2">
      <c r="B596" s="1"/>
    </row>
    <row r="597" spans="2:2" ht="13.2">
      <c r="B597" s="1"/>
    </row>
    <row r="598" spans="2:2" ht="13.2">
      <c r="B598" s="1"/>
    </row>
    <row r="599" spans="2:2" ht="13.2">
      <c r="B599" s="1"/>
    </row>
    <row r="600" spans="2:2" ht="13.2">
      <c r="B600" s="1"/>
    </row>
    <row r="601" spans="2:2" ht="13.2">
      <c r="B601" s="1"/>
    </row>
    <row r="602" spans="2:2" ht="13.2">
      <c r="B602" s="1"/>
    </row>
    <row r="603" spans="2:2" ht="13.2">
      <c r="B603" s="1"/>
    </row>
    <row r="604" spans="2:2" ht="13.2">
      <c r="B604" s="1"/>
    </row>
    <row r="605" spans="2:2" ht="13.2">
      <c r="B605" s="1"/>
    </row>
    <row r="606" spans="2:2" ht="13.2">
      <c r="B606" s="1"/>
    </row>
    <row r="607" spans="2:2" ht="13.2">
      <c r="B607" s="1"/>
    </row>
    <row r="608" spans="2:2" ht="13.2">
      <c r="B608" s="1"/>
    </row>
    <row r="609" spans="2:2" ht="13.2">
      <c r="B609" s="1"/>
    </row>
    <row r="610" spans="2:2" ht="13.2">
      <c r="B610" s="1"/>
    </row>
    <row r="611" spans="2:2" ht="13.2">
      <c r="B611" s="1"/>
    </row>
    <row r="612" spans="2:2" ht="13.2">
      <c r="B612" s="1"/>
    </row>
    <row r="613" spans="2:2" ht="13.2">
      <c r="B613" s="1"/>
    </row>
    <row r="614" spans="2:2" ht="13.2">
      <c r="B614" s="1"/>
    </row>
    <row r="615" spans="2:2" ht="13.2">
      <c r="B615" s="1"/>
    </row>
    <row r="616" spans="2:2" ht="13.2">
      <c r="B616" s="1"/>
    </row>
    <row r="617" spans="2:2" ht="13.2">
      <c r="B617" s="1"/>
    </row>
    <row r="618" spans="2:2" ht="13.2">
      <c r="B618" s="1"/>
    </row>
    <row r="619" spans="2:2" ht="13.2">
      <c r="B619" s="1"/>
    </row>
    <row r="620" spans="2:2" ht="13.2">
      <c r="B620" s="1"/>
    </row>
    <row r="621" spans="2:2" ht="13.2">
      <c r="B621" s="1"/>
    </row>
    <row r="622" spans="2:2" ht="13.2">
      <c r="B622" s="1"/>
    </row>
    <row r="623" spans="2:2" ht="13.2">
      <c r="B623" s="1"/>
    </row>
    <row r="624" spans="2:2" ht="13.2">
      <c r="B624" s="1"/>
    </row>
    <row r="625" spans="2:2" ht="13.2">
      <c r="B625" s="1"/>
    </row>
    <row r="626" spans="2:2" ht="13.2">
      <c r="B626" s="1"/>
    </row>
    <row r="627" spans="2:2" ht="13.2">
      <c r="B627" s="1"/>
    </row>
    <row r="628" spans="2:2" ht="13.2">
      <c r="B628" s="1"/>
    </row>
    <row r="629" spans="2:2" ht="13.2">
      <c r="B629" s="1"/>
    </row>
    <row r="630" spans="2:2" ht="13.2">
      <c r="B630" s="1"/>
    </row>
    <row r="631" spans="2:2" ht="13.2">
      <c r="B631" s="1"/>
    </row>
    <row r="632" spans="2:2" ht="13.2">
      <c r="B632" s="1"/>
    </row>
    <row r="633" spans="2:2" ht="13.2">
      <c r="B633" s="1"/>
    </row>
    <row r="634" spans="2:2" ht="13.2">
      <c r="B634" s="1"/>
    </row>
    <row r="635" spans="2:2" ht="13.2">
      <c r="B635" s="1"/>
    </row>
    <row r="636" spans="2:2" ht="13.2">
      <c r="B636" s="1"/>
    </row>
    <row r="637" spans="2:2" ht="13.2">
      <c r="B637" s="1"/>
    </row>
    <row r="638" spans="2:2" ht="13.2">
      <c r="B638" s="1"/>
    </row>
    <row r="639" spans="2:2" ht="13.2">
      <c r="B639" s="1"/>
    </row>
    <row r="640" spans="2:2" ht="13.2">
      <c r="B640" s="1"/>
    </row>
    <row r="641" spans="2:2" ht="13.2">
      <c r="B641" s="1"/>
    </row>
    <row r="642" spans="2:2" ht="13.2">
      <c r="B642" s="1"/>
    </row>
    <row r="643" spans="2:2" ht="13.2">
      <c r="B643" s="1"/>
    </row>
    <row r="644" spans="2:2" ht="13.2">
      <c r="B644" s="1"/>
    </row>
    <row r="645" spans="2:2" ht="13.2">
      <c r="B645" s="1"/>
    </row>
    <row r="646" spans="2:2" ht="13.2">
      <c r="B646" s="1"/>
    </row>
    <row r="647" spans="2:2" ht="13.2">
      <c r="B647" s="1"/>
    </row>
    <row r="648" spans="2:2" ht="13.2">
      <c r="B648" s="1"/>
    </row>
    <row r="649" spans="2:2" ht="13.2">
      <c r="B649" s="1"/>
    </row>
    <row r="650" spans="2:2" ht="13.2">
      <c r="B650" s="1"/>
    </row>
    <row r="651" spans="2:2" ht="13.2">
      <c r="B651" s="1"/>
    </row>
    <row r="652" spans="2:2" ht="13.2">
      <c r="B652" s="1"/>
    </row>
    <row r="653" spans="2:2" ht="13.2">
      <c r="B653" s="1"/>
    </row>
    <row r="654" spans="2:2" ht="13.2">
      <c r="B654" s="1"/>
    </row>
    <row r="655" spans="2:2" ht="13.2">
      <c r="B655" s="1"/>
    </row>
    <row r="656" spans="2:2" ht="13.2">
      <c r="B656" s="1"/>
    </row>
    <row r="657" spans="2:2" ht="13.2">
      <c r="B657" s="1"/>
    </row>
    <row r="658" spans="2:2" ht="13.2">
      <c r="B658" s="1"/>
    </row>
    <row r="659" spans="2:2" ht="13.2">
      <c r="B659" s="1"/>
    </row>
    <row r="660" spans="2:2" ht="13.2">
      <c r="B660" s="1"/>
    </row>
    <row r="661" spans="2:2" ht="13.2">
      <c r="B661" s="1"/>
    </row>
    <row r="662" spans="2:2" ht="13.2">
      <c r="B662" s="1"/>
    </row>
    <row r="663" spans="2:2" ht="13.2">
      <c r="B663" s="1"/>
    </row>
    <row r="664" spans="2:2" ht="13.2">
      <c r="B664" s="1"/>
    </row>
    <row r="665" spans="2:2" ht="13.2">
      <c r="B665" s="1"/>
    </row>
    <row r="666" spans="2:2" ht="13.2">
      <c r="B666" s="1"/>
    </row>
    <row r="667" spans="2:2" ht="13.2">
      <c r="B667" s="1"/>
    </row>
    <row r="668" spans="2:2" ht="13.2">
      <c r="B668" s="1"/>
    </row>
    <row r="669" spans="2:2" ht="13.2">
      <c r="B669" s="1"/>
    </row>
    <row r="670" spans="2:2" ht="13.2">
      <c r="B670" s="1"/>
    </row>
    <row r="671" spans="2:2" ht="13.2">
      <c r="B671" s="1"/>
    </row>
    <row r="672" spans="2:2" ht="13.2">
      <c r="B672" s="1"/>
    </row>
    <row r="673" spans="2:2" ht="13.2">
      <c r="B673" s="1"/>
    </row>
    <row r="674" spans="2:2" ht="13.2">
      <c r="B674" s="1"/>
    </row>
    <row r="675" spans="2:2" ht="13.2">
      <c r="B675" s="1"/>
    </row>
    <row r="676" spans="2:2" ht="13.2">
      <c r="B676" s="1"/>
    </row>
    <row r="677" spans="2:2" ht="13.2">
      <c r="B677" s="1"/>
    </row>
    <row r="678" spans="2:2" ht="13.2">
      <c r="B678" s="1"/>
    </row>
    <row r="679" spans="2:2" ht="13.2">
      <c r="B679" s="1"/>
    </row>
    <row r="680" spans="2:2" ht="13.2">
      <c r="B680" s="1"/>
    </row>
    <row r="681" spans="2:2" ht="13.2">
      <c r="B681" s="1"/>
    </row>
    <row r="682" spans="2:2" ht="13.2">
      <c r="B682" s="1"/>
    </row>
    <row r="683" spans="2:2" ht="13.2">
      <c r="B683" s="1"/>
    </row>
    <row r="684" spans="2:2" ht="13.2">
      <c r="B684" s="1"/>
    </row>
    <row r="685" spans="2:2" ht="13.2">
      <c r="B685" s="1"/>
    </row>
    <row r="686" spans="2:2" ht="13.2">
      <c r="B686" s="1"/>
    </row>
    <row r="687" spans="2:2" ht="13.2">
      <c r="B687" s="1"/>
    </row>
    <row r="688" spans="2:2" ht="13.2">
      <c r="B688" s="1"/>
    </row>
    <row r="689" spans="2:2" ht="13.2">
      <c r="B689" s="1"/>
    </row>
    <row r="690" spans="2:2" ht="13.2">
      <c r="B690" s="1"/>
    </row>
    <row r="691" spans="2:2" ht="13.2">
      <c r="B691" s="1"/>
    </row>
    <row r="692" spans="2:2" ht="13.2">
      <c r="B692" s="1"/>
    </row>
    <row r="693" spans="2:2" ht="13.2">
      <c r="B693" s="1"/>
    </row>
    <row r="694" spans="2:2" ht="13.2">
      <c r="B694" s="1"/>
    </row>
    <row r="695" spans="2:2" ht="13.2">
      <c r="B695" s="1"/>
    </row>
    <row r="696" spans="2:2" ht="13.2">
      <c r="B696" s="1"/>
    </row>
    <row r="697" spans="2:2" ht="13.2">
      <c r="B697" s="1"/>
    </row>
    <row r="698" spans="2:2" ht="13.2">
      <c r="B698" s="1"/>
    </row>
    <row r="699" spans="2:2" ht="13.2">
      <c r="B699" s="1"/>
    </row>
    <row r="700" spans="2:2" ht="13.2">
      <c r="B700" s="1"/>
    </row>
    <row r="701" spans="2:2" ht="13.2">
      <c r="B701" s="1"/>
    </row>
    <row r="702" spans="2:2" ht="13.2">
      <c r="B702" s="1"/>
    </row>
    <row r="703" spans="2:2" ht="13.2">
      <c r="B703" s="1"/>
    </row>
    <row r="704" spans="2:2" ht="13.2">
      <c r="B704" s="1"/>
    </row>
    <row r="705" spans="2:2" ht="13.2">
      <c r="B705" s="1"/>
    </row>
    <row r="706" spans="2:2" ht="13.2">
      <c r="B706" s="1"/>
    </row>
    <row r="707" spans="2:2" ht="13.2">
      <c r="B707" s="1"/>
    </row>
    <row r="708" spans="2:2" ht="13.2">
      <c r="B708" s="1"/>
    </row>
    <row r="709" spans="2:2" ht="13.2">
      <c r="B709" s="1"/>
    </row>
    <row r="710" spans="2:2" ht="13.2">
      <c r="B710" s="1"/>
    </row>
    <row r="711" spans="2:2" ht="13.2">
      <c r="B711" s="1"/>
    </row>
    <row r="712" spans="2:2" ht="13.2">
      <c r="B712" s="1"/>
    </row>
    <row r="713" spans="2:2" ht="13.2">
      <c r="B713" s="1"/>
    </row>
    <row r="714" spans="2:2" ht="13.2">
      <c r="B714" s="1"/>
    </row>
    <row r="715" spans="2:2" ht="13.2">
      <c r="B715" s="1"/>
    </row>
    <row r="716" spans="2:2" ht="13.2">
      <c r="B716" s="1"/>
    </row>
    <row r="717" spans="2:2" ht="13.2">
      <c r="B717" s="1"/>
    </row>
    <row r="718" spans="2:2" ht="13.2">
      <c r="B718" s="1"/>
    </row>
    <row r="719" spans="2:2" ht="13.2">
      <c r="B719" s="1"/>
    </row>
    <row r="720" spans="2:2" ht="13.2">
      <c r="B720" s="1"/>
    </row>
    <row r="721" spans="2:2" ht="13.2">
      <c r="B721" s="1"/>
    </row>
    <row r="722" spans="2:2" ht="13.2">
      <c r="B722" s="1"/>
    </row>
    <row r="723" spans="2:2" ht="13.2">
      <c r="B723" s="1"/>
    </row>
    <row r="724" spans="2:2" ht="13.2">
      <c r="B724" s="1"/>
    </row>
    <row r="725" spans="2:2" ht="13.2">
      <c r="B725" s="1"/>
    </row>
    <row r="726" spans="2:2" ht="13.2">
      <c r="B726" s="1"/>
    </row>
    <row r="727" spans="2:2" ht="13.2">
      <c r="B727" s="1"/>
    </row>
    <row r="728" spans="2:2" ht="13.2">
      <c r="B728" s="1"/>
    </row>
    <row r="729" spans="2:2" ht="13.2">
      <c r="B729" s="1"/>
    </row>
    <row r="730" spans="2:2" ht="13.2">
      <c r="B730" s="1"/>
    </row>
    <row r="731" spans="2:2" ht="13.2">
      <c r="B731" s="1"/>
    </row>
    <row r="732" spans="2:2" ht="13.2">
      <c r="B732" s="1"/>
    </row>
    <row r="733" spans="2:2" ht="13.2">
      <c r="B733" s="1"/>
    </row>
    <row r="734" spans="2:2" ht="13.2">
      <c r="B734" s="1"/>
    </row>
    <row r="735" spans="2:2" ht="13.2">
      <c r="B735" s="1"/>
    </row>
    <row r="736" spans="2:2" ht="13.2">
      <c r="B736" s="1"/>
    </row>
    <row r="737" spans="2:2" ht="13.2">
      <c r="B737" s="1"/>
    </row>
    <row r="738" spans="2:2" ht="13.2">
      <c r="B738" s="1"/>
    </row>
    <row r="739" spans="2:2" ht="13.2">
      <c r="B739" s="1"/>
    </row>
    <row r="740" spans="2:2" ht="13.2">
      <c r="B740" s="1"/>
    </row>
    <row r="741" spans="2:2" ht="13.2">
      <c r="B741" s="1"/>
    </row>
    <row r="742" spans="2:2" ht="13.2">
      <c r="B742" s="1"/>
    </row>
    <row r="743" spans="2:2" ht="13.2">
      <c r="B743" s="1"/>
    </row>
    <row r="744" spans="2:2" ht="13.2">
      <c r="B744" s="1"/>
    </row>
    <row r="745" spans="2:2" ht="13.2">
      <c r="B745" s="1"/>
    </row>
    <row r="746" spans="2:2" ht="13.2">
      <c r="B746" s="1"/>
    </row>
    <row r="747" spans="2:2" ht="13.2">
      <c r="B747" s="1"/>
    </row>
    <row r="748" spans="2:2" ht="13.2">
      <c r="B748" s="1"/>
    </row>
    <row r="749" spans="2:2" ht="13.2">
      <c r="B749" s="1"/>
    </row>
    <row r="750" spans="2:2" ht="13.2">
      <c r="B750" s="1"/>
    </row>
    <row r="751" spans="2:2" ht="13.2">
      <c r="B751" s="1"/>
    </row>
    <row r="752" spans="2:2" ht="13.2">
      <c r="B752" s="1"/>
    </row>
    <row r="753" spans="2:2" ht="13.2">
      <c r="B753" s="1"/>
    </row>
    <row r="754" spans="2:2" ht="13.2">
      <c r="B754" s="1"/>
    </row>
    <row r="755" spans="2:2" ht="13.2">
      <c r="B755" s="1"/>
    </row>
    <row r="756" spans="2:2" ht="13.2">
      <c r="B756" s="1"/>
    </row>
    <row r="757" spans="2:2" ht="13.2">
      <c r="B757" s="1"/>
    </row>
    <row r="758" spans="2:2" ht="13.2">
      <c r="B758" s="1"/>
    </row>
    <row r="759" spans="2:2" ht="13.2">
      <c r="B759" s="1"/>
    </row>
    <row r="760" spans="2:2" ht="13.2">
      <c r="B760" s="1"/>
    </row>
    <row r="761" spans="2:2" ht="13.2">
      <c r="B761" s="1"/>
    </row>
    <row r="762" spans="2:2" ht="13.2">
      <c r="B762" s="1"/>
    </row>
    <row r="763" spans="2:2" ht="13.2">
      <c r="B763" s="1"/>
    </row>
    <row r="764" spans="2:2" ht="13.2">
      <c r="B764" s="1"/>
    </row>
    <row r="765" spans="2:2" ht="13.2">
      <c r="B765" s="1"/>
    </row>
    <row r="766" spans="2:2" ht="13.2">
      <c r="B766" s="1"/>
    </row>
    <row r="767" spans="2:2" ht="13.2">
      <c r="B767" s="1"/>
    </row>
    <row r="768" spans="2:2" ht="13.2">
      <c r="B768" s="1"/>
    </row>
    <row r="769" spans="2:2" ht="13.2">
      <c r="B769" s="1"/>
    </row>
    <row r="770" spans="2:2" ht="13.2">
      <c r="B770" s="1"/>
    </row>
    <row r="771" spans="2:2" ht="13.2">
      <c r="B771" s="1"/>
    </row>
    <row r="772" spans="2:2" ht="13.2">
      <c r="B772" s="1"/>
    </row>
    <row r="773" spans="2:2" ht="13.2">
      <c r="B773" s="1"/>
    </row>
    <row r="774" spans="2:2" ht="13.2">
      <c r="B774" s="1"/>
    </row>
    <row r="775" spans="2:2" ht="13.2">
      <c r="B775" s="1"/>
    </row>
    <row r="776" spans="2:2" ht="13.2">
      <c r="B776" s="1"/>
    </row>
    <row r="777" spans="2:2" ht="13.2">
      <c r="B777" s="1"/>
    </row>
    <row r="778" spans="2:2" ht="13.2">
      <c r="B778" s="1"/>
    </row>
    <row r="779" spans="2:2" ht="13.2">
      <c r="B779" s="1"/>
    </row>
    <row r="780" spans="2:2" ht="13.2">
      <c r="B780" s="1"/>
    </row>
    <row r="781" spans="2:2" ht="13.2">
      <c r="B781" s="1"/>
    </row>
    <row r="782" spans="2:2" ht="13.2">
      <c r="B782" s="1"/>
    </row>
    <row r="783" spans="2:2" ht="13.2">
      <c r="B783" s="1"/>
    </row>
    <row r="784" spans="2:2" ht="13.2">
      <c r="B784" s="1"/>
    </row>
    <row r="785" spans="2:2" ht="13.2">
      <c r="B785" s="1"/>
    </row>
    <row r="786" spans="2:2" ht="13.2">
      <c r="B786" s="1"/>
    </row>
    <row r="787" spans="2:2" ht="13.2">
      <c r="B787" s="1"/>
    </row>
    <row r="788" spans="2:2" ht="13.2">
      <c r="B788" s="1"/>
    </row>
    <row r="789" spans="2:2" ht="13.2">
      <c r="B789" s="1"/>
    </row>
    <row r="790" spans="2:2" ht="13.2">
      <c r="B790" s="1"/>
    </row>
    <row r="791" spans="2:2" ht="13.2">
      <c r="B791" s="1"/>
    </row>
    <row r="792" spans="2:2" ht="13.2">
      <c r="B792" s="1"/>
    </row>
    <row r="793" spans="2:2" ht="13.2">
      <c r="B793" s="1"/>
    </row>
    <row r="794" spans="2:2" ht="13.2">
      <c r="B794" s="1"/>
    </row>
    <row r="795" spans="2:2" ht="13.2">
      <c r="B795" s="1"/>
    </row>
    <row r="796" spans="2:2" ht="13.2">
      <c r="B796" s="1"/>
    </row>
    <row r="797" spans="2:2" ht="13.2">
      <c r="B797" s="1"/>
    </row>
    <row r="798" spans="2:2" ht="13.2">
      <c r="B798" s="1"/>
    </row>
    <row r="799" spans="2:2" ht="13.2">
      <c r="B799" s="1"/>
    </row>
    <row r="800" spans="2:2" ht="13.2">
      <c r="B800" s="1"/>
    </row>
    <row r="801" spans="2:2" ht="13.2">
      <c r="B801" s="1"/>
    </row>
    <row r="802" spans="2:2" ht="13.2">
      <c r="B802" s="1"/>
    </row>
    <row r="803" spans="2:2" ht="13.2">
      <c r="B803" s="1"/>
    </row>
    <row r="804" spans="2:2" ht="13.2">
      <c r="B804" s="1"/>
    </row>
    <row r="805" spans="2:2" ht="13.2">
      <c r="B805" s="1"/>
    </row>
    <row r="806" spans="2:2" ht="13.2">
      <c r="B806" s="1"/>
    </row>
    <row r="807" spans="2:2" ht="13.2">
      <c r="B807" s="1"/>
    </row>
    <row r="808" spans="2:2" ht="13.2">
      <c r="B808" s="1"/>
    </row>
    <row r="809" spans="2:2" ht="13.2">
      <c r="B809" s="1"/>
    </row>
    <row r="810" spans="2:2" ht="13.2">
      <c r="B810" s="1"/>
    </row>
    <row r="811" spans="2:2" ht="13.2">
      <c r="B811" s="1"/>
    </row>
    <row r="812" spans="2:2" ht="13.2">
      <c r="B812" s="1"/>
    </row>
    <row r="813" spans="2:2" ht="13.2">
      <c r="B813" s="1"/>
    </row>
    <row r="814" spans="2:2" ht="13.2">
      <c r="B814" s="1"/>
    </row>
    <row r="815" spans="2:2" ht="13.2">
      <c r="B815" s="1"/>
    </row>
    <row r="816" spans="2:2" ht="13.2">
      <c r="B816" s="1"/>
    </row>
    <row r="817" spans="2:2" ht="13.2">
      <c r="B817" s="1"/>
    </row>
    <row r="818" spans="2:2" ht="13.2">
      <c r="B818" s="1"/>
    </row>
    <row r="819" spans="2:2" ht="13.2">
      <c r="B819" s="1"/>
    </row>
    <row r="820" spans="2:2" ht="13.2">
      <c r="B820" s="1"/>
    </row>
    <row r="821" spans="2:2" ht="13.2">
      <c r="B821" s="1"/>
    </row>
    <row r="822" spans="2:2" ht="13.2">
      <c r="B822" s="1"/>
    </row>
    <row r="823" spans="2:2" ht="13.2">
      <c r="B823" s="1"/>
    </row>
    <row r="824" spans="2:2" ht="13.2">
      <c r="B824" s="1"/>
    </row>
    <row r="825" spans="2:2" ht="13.2">
      <c r="B825" s="1"/>
    </row>
    <row r="826" spans="2:2" ht="13.2">
      <c r="B826" s="1"/>
    </row>
    <row r="827" spans="2:2" ht="13.2">
      <c r="B827" s="1"/>
    </row>
    <row r="828" spans="2:2" ht="13.2">
      <c r="B828" s="1"/>
    </row>
    <row r="829" spans="2:2" ht="13.2">
      <c r="B829" s="1"/>
    </row>
    <row r="830" spans="2:2" ht="13.2">
      <c r="B830" s="1"/>
    </row>
    <row r="831" spans="2:2" ht="13.2">
      <c r="B831" s="1"/>
    </row>
    <row r="832" spans="2:2" ht="13.2">
      <c r="B832" s="1"/>
    </row>
    <row r="833" spans="2:2" ht="13.2">
      <c r="B833" s="1"/>
    </row>
    <row r="834" spans="2:2" ht="13.2">
      <c r="B834" s="1"/>
    </row>
    <row r="835" spans="2:2" ht="13.2">
      <c r="B835" s="1"/>
    </row>
    <row r="836" spans="2:2" ht="13.2">
      <c r="B836" s="1"/>
    </row>
    <row r="837" spans="2:2" ht="13.2">
      <c r="B837" s="1"/>
    </row>
    <row r="838" spans="2:2" ht="13.2">
      <c r="B838" s="1"/>
    </row>
    <row r="839" spans="2:2" ht="13.2">
      <c r="B839" s="1"/>
    </row>
    <row r="840" spans="2:2" ht="13.2">
      <c r="B840" s="1"/>
    </row>
    <row r="841" spans="2:2" ht="13.2">
      <c r="B841" s="1"/>
    </row>
    <row r="842" spans="2:2" ht="13.2">
      <c r="B842" s="1"/>
    </row>
    <row r="843" spans="2:2" ht="13.2">
      <c r="B843" s="1"/>
    </row>
    <row r="844" spans="2:2" ht="13.2">
      <c r="B844" s="1"/>
    </row>
    <row r="845" spans="2:2" ht="13.2">
      <c r="B845" s="1"/>
    </row>
    <row r="846" spans="2:2" ht="13.2">
      <c r="B846" s="1"/>
    </row>
    <row r="847" spans="2:2" ht="13.2">
      <c r="B847" s="1"/>
    </row>
    <row r="848" spans="2:2" ht="13.2">
      <c r="B848" s="1"/>
    </row>
    <row r="849" spans="2:2" ht="13.2">
      <c r="B849" s="1"/>
    </row>
    <row r="850" spans="2:2" ht="13.2">
      <c r="B850" s="1"/>
    </row>
    <row r="851" spans="2:2" ht="13.2">
      <c r="B851" s="1"/>
    </row>
    <row r="852" spans="2:2" ht="13.2">
      <c r="B852" s="1"/>
    </row>
    <row r="853" spans="2:2" ht="13.2">
      <c r="B853" s="1"/>
    </row>
    <row r="854" spans="2:2" ht="13.2">
      <c r="B854" s="1"/>
    </row>
    <row r="855" spans="2:2" ht="13.2">
      <c r="B855" s="1"/>
    </row>
    <row r="856" spans="2:2" ht="13.2">
      <c r="B856" s="1"/>
    </row>
    <row r="857" spans="2:2" ht="13.2">
      <c r="B857" s="1"/>
    </row>
    <row r="858" spans="2:2" ht="13.2">
      <c r="B858" s="1"/>
    </row>
    <row r="859" spans="2:2" ht="13.2">
      <c r="B859" s="1"/>
    </row>
    <row r="860" spans="2:2" ht="13.2">
      <c r="B860" s="1"/>
    </row>
    <row r="861" spans="2:2" ht="13.2">
      <c r="B861" s="1"/>
    </row>
    <row r="862" spans="2:2" ht="13.2">
      <c r="B862" s="1"/>
    </row>
    <row r="863" spans="2:2" ht="13.2">
      <c r="B863" s="1"/>
    </row>
    <row r="864" spans="2:2" ht="13.2">
      <c r="B864" s="1"/>
    </row>
    <row r="865" spans="2:2" ht="13.2">
      <c r="B865" s="1"/>
    </row>
    <row r="866" spans="2:2" ht="13.2">
      <c r="B866" s="1"/>
    </row>
    <row r="867" spans="2:2" ht="13.2">
      <c r="B867" s="1"/>
    </row>
    <row r="868" spans="2:2" ht="13.2">
      <c r="B868" s="1"/>
    </row>
    <row r="869" spans="2:2" ht="13.2">
      <c r="B869" s="1"/>
    </row>
    <row r="870" spans="2:2" ht="13.2">
      <c r="B870" s="1"/>
    </row>
    <row r="871" spans="2:2" ht="13.2">
      <c r="B871" s="1"/>
    </row>
    <row r="872" spans="2:2" ht="13.2">
      <c r="B872" s="1"/>
    </row>
    <row r="873" spans="2:2" ht="13.2">
      <c r="B873" s="1"/>
    </row>
    <row r="874" spans="2:2" ht="13.2">
      <c r="B874" s="1"/>
    </row>
    <row r="875" spans="2:2" ht="13.2">
      <c r="B875" s="1"/>
    </row>
    <row r="876" spans="2:2" ht="13.2">
      <c r="B876" s="1"/>
    </row>
    <row r="877" spans="2:2" ht="13.2">
      <c r="B877" s="1"/>
    </row>
    <row r="878" spans="2:2" ht="13.2">
      <c r="B878" s="1"/>
    </row>
    <row r="879" spans="2:2" ht="13.2">
      <c r="B879" s="1"/>
    </row>
    <row r="880" spans="2:2" ht="13.2">
      <c r="B880" s="1"/>
    </row>
    <row r="881" spans="2:2" ht="13.2">
      <c r="B881" s="1"/>
    </row>
    <row r="882" spans="2:2" ht="13.2">
      <c r="B882" s="1"/>
    </row>
    <row r="883" spans="2:2" ht="13.2">
      <c r="B883" s="1"/>
    </row>
    <row r="884" spans="2:2" ht="13.2">
      <c r="B884" s="1"/>
    </row>
    <row r="885" spans="2:2" ht="13.2">
      <c r="B885" s="1"/>
    </row>
    <row r="886" spans="2:2" ht="13.2">
      <c r="B886" s="1"/>
    </row>
    <row r="887" spans="2:2" ht="13.2">
      <c r="B887" s="1"/>
    </row>
    <row r="888" spans="2:2" ht="13.2">
      <c r="B888" s="1"/>
    </row>
    <row r="889" spans="2:2" ht="13.2">
      <c r="B889" s="1"/>
    </row>
    <row r="890" spans="2:2" ht="13.2">
      <c r="B890" s="1"/>
    </row>
    <row r="891" spans="2:2" ht="13.2">
      <c r="B891" s="1"/>
    </row>
    <row r="892" spans="2:2" ht="13.2">
      <c r="B892" s="1"/>
    </row>
    <row r="893" spans="2:2" ht="13.2">
      <c r="B893" s="1"/>
    </row>
    <row r="894" spans="2:2" ht="13.2">
      <c r="B894" s="1"/>
    </row>
    <row r="895" spans="2:2" ht="13.2">
      <c r="B895" s="1"/>
    </row>
    <row r="896" spans="2:2" ht="13.2">
      <c r="B896" s="1"/>
    </row>
    <row r="897" spans="2:2" ht="13.2">
      <c r="B897" s="1"/>
    </row>
    <row r="898" spans="2:2" ht="13.2">
      <c r="B898" s="1"/>
    </row>
    <row r="899" spans="2:2" ht="13.2">
      <c r="B899" s="1"/>
    </row>
    <row r="900" spans="2:2" ht="13.2">
      <c r="B900" s="1"/>
    </row>
    <row r="901" spans="2:2" ht="13.2">
      <c r="B901" s="1"/>
    </row>
    <row r="902" spans="2:2" ht="13.2">
      <c r="B902" s="1"/>
    </row>
    <row r="903" spans="2:2" ht="13.2">
      <c r="B903" s="1"/>
    </row>
    <row r="904" spans="2:2" ht="13.2">
      <c r="B904" s="1"/>
    </row>
    <row r="905" spans="2:2" ht="13.2">
      <c r="B905" s="1"/>
    </row>
    <row r="906" spans="2:2" ht="13.2">
      <c r="B906" s="1"/>
    </row>
    <row r="907" spans="2:2" ht="13.2">
      <c r="B907" s="1"/>
    </row>
    <row r="908" spans="2:2" ht="13.2">
      <c r="B908" s="1"/>
    </row>
    <row r="909" spans="2:2" ht="13.2">
      <c r="B909" s="1"/>
    </row>
    <row r="910" spans="2:2" ht="13.2">
      <c r="B910" s="1"/>
    </row>
    <row r="911" spans="2:2" ht="13.2">
      <c r="B911" s="1"/>
    </row>
    <row r="912" spans="2:2" ht="13.2">
      <c r="B912" s="1"/>
    </row>
    <row r="913" spans="2:2" ht="13.2">
      <c r="B913" s="1"/>
    </row>
    <row r="914" spans="2:2" ht="13.2">
      <c r="B914" s="1"/>
    </row>
    <row r="915" spans="2:2" ht="13.2">
      <c r="B915" s="1"/>
    </row>
    <row r="916" spans="2:2" ht="13.2">
      <c r="B916" s="1"/>
    </row>
    <row r="917" spans="2:2" ht="13.2">
      <c r="B917" s="1"/>
    </row>
    <row r="918" spans="2:2" ht="13.2">
      <c r="B918" s="1"/>
    </row>
    <row r="919" spans="2:2" ht="13.2">
      <c r="B919" s="1"/>
    </row>
    <row r="920" spans="2:2" ht="13.2">
      <c r="B920" s="1"/>
    </row>
    <row r="921" spans="2:2" ht="13.2">
      <c r="B921" s="1"/>
    </row>
    <row r="922" spans="2:2" ht="13.2">
      <c r="B922" s="1"/>
    </row>
    <row r="923" spans="2:2" ht="13.2">
      <c r="B923" s="1"/>
    </row>
    <row r="924" spans="2:2" ht="13.2">
      <c r="B924" s="1"/>
    </row>
    <row r="925" spans="2:2" ht="13.2">
      <c r="B925" s="1"/>
    </row>
    <row r="926" spans="2:2" ht="13.2">
      <c r="B926" s="1"/>
    </row>
    <row r="927" spans="2:2" ht="13.2">
      <c r="B927" s="1"/>
    </row>
    <row r="928" spans="2:2" ht="13.2">
      <c r="B928" s="1"/>
    </row>
    <row r="929" spans="2:2" ht="13.2">
      <c r="B929" s="1"/>
    </row>
    <row r="930" spans="2:2" ht="13.2">
      <c r="B930" s="1"/>
    </row>
    <row r="931" spans="2:2" ht="13.2">
      <c r="B931" s="1"/>
    </row>
    <row r="932" spans="2:2" ht="13.2">
      <c r="B932" s="1"/>
    </row>
    <row r="933" spans="2:2" ht="13.2">
      <c r="B933" s="1"/>
    </row>
    <row r="934" spans="2:2" ht="13.2">
      <c r="B934" s="1"/>
    </row>
    <row r="935" spans="2:2" ht="13.2">
      <c r="B935" s="1"/>
    </row>
    <row r="936" spans="2:2" ht="13.2">
      <c r="B936" s="1"/>
    </row>
    <row r="937" spans="2:2" ht="13.2">
      <c r="B937" s="1"/>
    </row>
    <row r="938" spans="2:2" ht="13.2">
      <c r="B938" s="1"/>
    </row>
    <row r="939" spans="2:2" ht="13.2">
      <c r="B939" s="1"/>
    </row>
    <row r="940" spans="2:2" ht="13.2">
      <c r="B940" s="1"/>
    </row>
    <row r="941" spans="2:2" ht="13.2">
      <c r="B941" s="1"/>
    </row>
    <row r="942" spans="2:2" ht="13.2">
      <c r="B942" s="1"/>
    </row>
    <row r="943" spans="2:2" ht="13.2">
      <c r="B943" s="1"/>
    </row>
    <row r="944" spans="2:2" ht="13.2">
      <c r="B944" s="1"/>
    </row>
    <row r="945" spans="2:2" ht="13.2">
      <c r="B945" s="1"/>
    </row>
    <row r="946" spans="2:2" ht="13.2">
      <c r="B946" s="1"/>
    </row>
    <row r="947" spans="2:2" ht="13.2">
      <c r="B947" s="1"/>
    </row>
    <row r="948" spans="2:2" ht="13.2">
      <c r="B948" s="1"/>
    </row>
    <row r="949" spans="2:2" ht="13.2">
      <c r="B949" s="1"/>
    </row>
    <row r="950" spans="2:2" ht="13.2">
      <c r="B950" s="1"/>
    </row>
    <row r="951" spans="2:2" ht="13.2">
      <c r="B951" s="1"/>
    </row>
    <row r="952" spans="2:2" ht="13.2">
      <c r="B952" s="1"/>
    </row>
    <row r="953" spans="2:2" ht="13.2">
      <c r="B953" s="1"/>
    </row>
    <row r="954" spans="2:2" ht="13.2">
      <c r="B954" s="1"/>
    </row>
    <row r="955" spans="2:2" ht="13.2">
      <c r="B955" s="1"/>
    </row>
    <row r="956" spans="2:2" ht="13.2">
      <c r="B956" s="1"/>
    </row>
    <row r="957" spans="2:2" ht="13.2">
      <c r="B957" s="1"/>
    </row>
    <row r="958" spans="2:2" ht="13.2">
      <c r="B958" s="1"/>
    </row>
    <row r="959" spans="2:2" ht="13.2">
      <c r="B959" s="1"/>
    </row>
    <row r="960" spans="2:2" ht="13.2">
      <c r="B960" s="1"/>
    </row>
    <row r="961" spans="2:2" ht="13.2">
      <c r="B961" s="1"/>
    </row>
    <row r="962" spans="2:2" ht="13.2">
      <c r="B962" s="1"/>
    </row>
    <row r="963" spans="2:2" ht="13.2">
      <c r="B963" s="1"/>
    </row>
    <row r="964" spans="2:2" ht="13.2">
      <c r="B964" s="1"/>
    </row>
    <row r="965" spans="2:2" ht="13.2">
      <c r="B965" s="1"/>
    </row>
    <row r="966" spans="2:2" ht="13.2">
      <c r="B966" s="1"/>
    </row>
    <row r="967" spans="2:2" ht="13.2">
      <c r="B967" s="1"/>
    </row>
    <row r="968" spans="2:2" ht="13.2">
      <c r="B968" s="1"/>
    </row>
    <row r="969" spans="2:2" ht="13.2">
      <c r="B969" s="1"/>
    </row>
    <row r="970" spans="2:2" ht="13.2">
      <c r="B970" s="1"/>
    </row>
    <row r="971" spans="2:2" ht="13.2">
      <c r="B971" s="1"/>
    </row>
    <row r="972" spans="2:2" ht="13.2">
      <c r="B972" s="1"/>
    </row>
    <row r="973" spans="2:2" ht="13.2">
      <c r="B973" s="1"/>
    </row>
    <row r="974" spans="2:2" ht="13.2">
      <c r="B974" s="1"/>
    </row>
    <row r="975" spans="2:2" ht="13.2">
      <c r="B975" s="1"/>
    </row>
    <row r="976" spans="2:2" ht="13.2">
      <c r="B976" s="1"/>
    </row>
    <row r="977" spans="2:2" ht="13.2">
      <c r="B977" s="1"/>
    </row>
    <row r="978" spans="2:2" ht="13.2">
      <c r="B978" s="1"/>
    </row>
    <row r="979" spans="2:2" ht="13.2">
      <c r="B979" s="1"/>
    </row>
    <row r="980" spans="2:2" ht="13.2">
      <c r="B980" s="1"/>
    </row>
    <row r="981" spans="2:2" ht="13.2">
      <c r="B981" s="1"/>
    </row>
    <row r="982" spans="2:2" ht="13.2">
      <c r="B982" s="1"/>
    </row>
    <row r="983" spans="2:2" ht="13.2">
      <c r="B983" s="1"/>
    </row>
    <row r="984" spans="2:2" ht="13.2">
      <c r="B984" s="1"/>
    </row>
    <row r="985" spans="2:2" ht="13.2">
      <c r="B985" s="1"/>
    </row>
    <row r="986" spans="2:2" ht="13.2">
      <c r="B986" s="1"/>
    </row>
    <row r="987" spans="2:2" ht="13.2">
      <c r="B987" s="1"/>
    </row>
    <row r="988" spans="2:2" ht="13.2">
      <c r="B988" s="1"/>
    </row>
    <row r="989" spans="2:2" ht="13.2">
      <c r="B989" s="1"/>
    </row>
    <row r="990" spans="2:2" ht="13.2">
      <c r="B990" s="1"/>
    </row>
    <row r="991" spans="2:2" ht="13.2">
      <c r="B991" s="1"/>
    </row>
    <row r="992" spans="2:2" ht="13.2">
      <c r="B992" s="1"/>
    </row>
    <row r="993" spans="2:2" ht="13.2">
      <c r="B993" s="1"/>
    </row>
    <row r="994" spans="2:2" ht="13.2">
      <c r="B994" s="1"/>
    </row>
    <row r="995" spans="2:2" ht="13.2">
      <c r="B995" s="1"/>
    </row>
    <row r="996" spans="2:2" ht="13.2">
      <c r="B996" s="1"/>
    </row>
    <row r="997" spans="2:2" ht="13.2">
      <c r="B997" s="1"/>
    </row>
    <row r="998" spans="2:2" ht="13.2">
      <c r="B998" s="1"/>
    </row>
    <row r="999" spans="2:2" ht="13.2">
      <c r="B999" s="1"/>
    </row>
    <row r="1000" spans="2:2" ht="13.2">
      <c r="B1000" s="1"/>
    </row>
    <row r="1001" spans="2:2" ht="13.2">
      <c r="B1001" s="1"/>
    </row>
    <row r="1002" spans="2:2" ht="13.2">
      <c r="B1002" s="1"/>
    </row>
    <row r="1003" spans="2:2" ht="13.2">
      <c r="B1003" s="1"/>
    </row>
    <row r="1004" spans="2:2" ht="13.2">
      <c r="B1004" s="1"/>
    </row>
    <row r="1005" spans="2:2" ht="13.2">
      <c r="B1005" s="1"/>
    </row>
    <row r="1006" spans="2:2" ht="13.2">
      <c r="B1006" s="1"/>
    </row>
  </sheetData>
  <mergeCells count="14">
    <mergeCell ref="B41:B43"/>
    <mergeCell ref="B44:C44"/>
    <mergeCell ref="B12:B13"/>
    <mergeCell ref="C12:C13"/>
    <mergeCell ref="D12:J12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</mergeCells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26"/>
  <sheetViews>
    <sheetView tabSelected="1" workbookViewId="0">
      <selection activeCell="G42" sqref="G42"/>
    </sheetView>
  </sheetViews>
  <sheetFormatPr defaultColWidth="12.6640625" defaultRowHeight="15.75" customHeight="1"/>
  <cols>
    <col min="1" max="1" width="7.6640625" customWidth="1"/>
    <col min="2" max="2" width="19.77734375" bestFit="1" customWidth="1"/>
    <col min="3" max="3" width="9.5546875" bestFit="1" customWidth="1"/>
    <col min="4" max="28" width="16" bestFit="1" customWidth="1"/>
    <col min="29" max="29" width="18" bestFit="1" customWidth="1"/>
    <col min="30" max="31" width="16" bestFit="1" customWidth="1"/>
  </cols>
  <sheetData>
    <row r="1" spans="2:31" ht="13.2">
      <c r="B1" s="1"/>
      <c r="C1" s="1"/>
    </row>
    <row r="2" spans="2:31" ht="15.75" customHeight="1">
      <c r="B2" s="103" t="s">
        <v>0</v>
      </c>
      <c r="C2" s="104" t="s">
        <v>0</v>
      </c>
      <c r="D2" s="106" t="s">
        <v>72</v>
      </c>
      <c r="E2" s="99" t="s">
        <v>1</v>
      </c>
      <c r="F2" s="88"/>
      <c r="G2" s="88"/>
      <c r="H2" s="88"/>
      <c r="I2" s="88"/>
      <c r="J2" s="88"/>
      <c r="K2" s="88"/>
      <c r="L2" s="100" t="s">
        <v>2</v>
      </c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107" t="s">
        <v>3</v>
      </c>
      <c r="Y2" s="88"/>
      <c r="Z2" s="88"/>
      <c r="AA2" s="88"/>
      <c r="AB2" s="88"/>
      <c r="AC2" s="88"/>
      <c r="AD2" s="88"/>
      <c r="AE2" s="88"/>
    </row>
    <row r="3" spans="2:31" ht="14.4" thickBot="1">
      <c r="B3" s="86"/>
      <c r="C3" s="105"/>
      <c r="D3" s="105"/>
      <c r="E3" s="47" t="s">
        <v>16</v>
      </c>
      <c r="F3" s="47" t="s">
        <v>17</v>
      </c>
      <c r="G3" s="47" t="s">
        <v>18</v>
      </c>
      <c r="H3" s="47" t="s">
        <v>57</v>
      </c>
      <c r="I3" s="47" t="s">
        <v>58</v>
      </c>
      <c r="J3" s="47" t="s">
        <v>59</v>
      </c>
      <c r="K3" s="47" t="s">
        <v>10</v>
      </c>
      <c r="L3" s="47" t="s">
        <v>11</v>
      </c>
      <c r="M3" s="47" t="s">
        <v>12</v>
      </c>
      <c r="N3" s="47" t="s">
        <v>13</v>
      </c>
      <c r="O3" s="47" t="s">
        <v>14</v>
      </c>
      <c r="P3" s="47" t="s">
        <v>15</v>
      </c>
      <c r="Q3" s="47" t="s">
        <v>16</v>
      </c>
      <c r="R3" s="47" t="s">
        <v>17</v>
      </c>
      <c r="S3" s="47" t="s">
        <v>18</v>
      </c>
      <c r="T3" s="47" t="s">
        <v>57</v>
      </c>
      <c r="U3" s="47" t="s">
        <v>58</v>
      </c>
      <c r="V3" s="47" t="s">
        <v>59</v>
      </c>
      <c r="W3" s="47" t="s">
        <v>10</v>
      </c>
      <c r="X3" s="47" t="s">
        <v>11</v>
      </c>
      <c r="Y3" s="47" t="s">
        <v>12</v>
      </c>
      <c r="Z3" s="47" t="s">
        <v>13</v>
      </c>
      <c r="AA3" s="47" t="s">
        <v>14</v>
      </c>
      <c r="AB3" s="47" t="s">
        <v>15</v>
      </c>
      <c r="AC3" s="47" t="s">
        <v>16</v>
      </c>
      <c r="AD3" s="47" t="s">
        <v>17</v>
      </c>
      <c r="AE3" s="47" t="s">
        <v>18</v>
      </c>
    </row>
    <row r="4" spans="2:31" ht="18" thickBot="1">
      <c r="B4" s="96" t="s">
        <v>62</v>
      </c>
      <c r="C4" s="48" t="s">
        <v>32</v>
      </c>
      <c r="D4" s="50">
        <f ca="1">IFERROR(__xludf.DUMMYFUNCTION("IMPORTRANGE(""18m7_5Vy-SocSuBMtXmritoiWfMy_VSJ0LqQCfdmFyYU/edit?gid=852545723"",""'1.자산투자(원금)'!q6"")"),114094104)</f>
        <v>114094104</v>
      </c>
      <c r="E4" s="49">
        <v>111202004</v>
      </c>
      <c r="F4" s="51">
        <v>111452004</v>
      </c>
      <c r="G4" s="51">
        <v>111452004</v>
      </c>
      <c r="H4" s="49">
        <v>111452004</v>
      </c>
      <c r="I4" s="49">
        <v>111952004</v>
      </c>
      <c r="J4" s="51">
        <v>112202004</v>
      </c>
      <c r="K4" s="51">
        <v>112452004</v>
      </c>
      <c r="L4" s="51">
        <v>112702004</v>
      </c>
      <c r="M4" s="51">
        <v>112952004</v>
      </c>
      <c r="N4" s="51">
        <v>112952004</v>
      </c>
      <c r="O4" s="51">
        <v>112952004</v>
      </c>
      <c r="P4" s="51">
        <v>112952004</v>
      </c>
      <c r="Q4" s="51">
        <v>112952004</v>
      </c>
      <c r="R4" s="51">
        <v>113202004</v>
      </c>
      <c r="S4" s="51">
        <v>113202004</v>
      </c>
      <c r="T4" s="51">
        <v>113202004</v>
      </c>
      <c r="U4" s="51">
        <v>113202004</v>
      </c>
      <c r="V4" s="51">
        <v>113202004</v>
      </c>
      <c r="W4" s="51">
        <v>113202004</v>
      </c>
      <c r="X4" s="51">
        <v>113724104</v>
      </c>
      <c r="Y4" s="51">
        <v>113724104</v>
      </c>
      <c r="Z4" s="51">
        <v>113724104</v>
      </c>
      <c r="AA4" s="51">
        <v>113724104</v>
      </c>
      <c r="AB4" s="51">
        <v>113724104</v>
      </c>
      <c r="AC4" s="51">
        <v>113724104</v>
      </c>
      <c r="AD4" s="51">
        <v>113724104</v>
      </c>
      <c r="AE4" s="72">
        <v>114094104</v>
      </c>
    </row>
    <row r="5" spans="2:31" ht="18" thickBot="1">
      <c r="B5" s="92"/>
      <c r="C5" s="48" t="s">
        <v>60</v>
      </c>
      <c r="D5" s="53"/>
      <c r="E5" s="54">
        <v>153659910</v>
      </c>
      <c r="F5" s="54">
        <v>147971400</v>
      </c>
      <c r="G5" s="54">
        <v>142071350</v>
      </c>
      <c r="H5" s="54">
        <v>142355560</v>
      </c>
      <c r="I5" s="54">
        <v>152078520</v>
      </c>
      <c r="J5" s="55">
        <v>157460965</v>
      </c>
      <c r="K5" s="55">
        <v>160777630</v>
      </c>
      <c r="L5" s="55">
        <v>157860455</v>
      </c>
      <c r="M5" s="55">
        <v>151153060</v>
      </c>
      <c r="N5" s="55">
        <v>141689545</v>
      </c>
      <c r="O5" s="55">
        <v>125241290</v>
      </c>
      <c r="P5" s="55">
        <v>140628885</v>
      </c>
      <c r="Q5" s="55">
        <v>147866080</v>
      </c>
      <c r="R5" s="55">
        <v>148825165</v>
      </c>
      <c r="S5" s="55">
        <v>147606290</v>
      </c>
      <c r="T5" s="55">
        <v>158205425</v>
      </c>
      <c r="U5" s="55">
        <v>173404240</v>
      </c>
      <c r="V5" s="55">
        <v>167653320</v>
      </c>
      <c r="W5" s="55">
        <v>165702475</v>
      </c>
      <c r="X5" s="55">
        <v>199924710</v>
      </c>
      <c r="Y5" s="55">
        <v>235860395</v>
      </c>
      <c r="Z5" s="55">
        <v>200742350</v>
      </c>
      <c r="AA5" s="55">
        <v>246831735</v>
      </c>
      <c r="AB5" s="55">
        <v>316284105</v>
      </c>
      <c r="AC5" s="55">
        <v>362924980</v>
      </c>
      <c r="AD5" s="55">
        <v>275958435</v>
      </c>
      <c r="AE5" s="73">
        <v>266212145</v>
      </c>
    </row>
    <row r="6" spans="2:31" ht="18" thickBot="1">
      <c r="B6" s="92"/>
      <c r="C6" s="48" t="s">
        <v>61</v>
      </c>
      <c r="D6" s="53"/>
      <c r="E6" s="56">
        <v>42457906</v>
      </c>
      <c r="F6" s="56">
        <v>36519396</v>
      </c>
      <c r="G6" s="56">
        <v>30619346</v>
      </c>
      <c r="H6" s="56">
        <v>30903556</v>
      </c>
      <c r="I6" s="56">
        <v>40126516</v>
      </c>
      <c r="J6" s="56">
        <v>45258961</v>
      </c>
      <c r="K6" s="56">
        <v>48325626</v>
      </c>
      <c r="L6" s="56">
        <v>45158451</v>
      </c>
      <c r="M6" s="56">
        <v>38201056</v>
      </c>
      <c r="N6" s="56">
        <v>28737541</v>
      </c>
      <c r="O6" s="56">
        <v>12289286</v>
      </c>
      <c r="P6" s="56">
        <v>27676881</v>
      </c>
      <c r="Q6" s="56">
        <v>34914076</v>
      </c>
      <c r="R6" s="56">
        <v>35623161</v>
      </c>
      <c r="S6" s="56">
        <v>34404286</v>
      </c>
      <c r="T6" s="56">
        <v>45003421</v>
      </c>
      <c r="U6" s="56">
        <v>60202236</v>
      </c>
      <c r="V6" s="56">
        <v>54451316</v>
      </c>
      <c r="W6" s="56">
        <v>52500471</v>
      </c>
      <c r="X6" s="56">
        <v>86200606</v>
      </c>
      <c r="Y6" s="56">
        <v>122136291</v>
      </c>
      <c r="Z6" s="56">
        <v>87018246</v>
      </c>
      <c r="AA6" s="56">
        <v>133107631</v>
      </c>
      <c r="AB6" s="56">
        <v>202560001</v>
      </c>
      <c r="AC6" s="56">
        <v>249200876</v>
      </c>
      <c r="AD6" s="56">
        <v>162234331</v>
      </c>
      <c r="AE6" s="74">
        <v>152118041</v>
      </c>
    </row>
    <row r="7" spans="2:31" ht="18" thickBot="1">
      <c r="B7" s="86"/>
      <c r="C7" s="48" t="s">
        <v>23</v>
      </c>
      <c r="D7" s="53"/>
      <c r="E7" s="57">
        <v>0.38180882063959926</v>
      </c>
      <c r="F7" s="57">
        <v>0.32766926290531301</v>
      </c>
      <c r="G7" s="57">
        <v>0.27473122870002409</v>
      </c>
      <c r="H7" s="57">
        <v>0.27728129500479864</v>
      </c>
      <c r="I7" s="57">
        <v>0.35842606265449256</v>
      </c>
      <c r="J7" s="57">
        <v>0.40337034443698527</v>
      </c>
      <c r="K7" s="57">
        <v>0.42974446235746944</v>
      </c>
      <c r="L7" s="57">
        <v>0.40068897976295081</v>
      </c>
      <c r="M7" s="57">
        <v>0.33820609327126239</v>
      </c>
      <c r="N7" s="57">
        <v>0.25442258642883397</v>
      </c>
      <c r="O7" s="57">
        <v>0.10880095584669751</v>
      </c>
      <c r="P7" s="57">
        <v>0.2450322262542593</v>
      </c>
      <c r="Q7" s="57">
        <v>0.30910541436697309</v>
      </c>
      <c r="R7" s="57">
        <v>0.31468666402760853</v>
      </c>
      <c r="S7" s="57">
        <v>0.30391940764582226</v>
      </c>
      <c r="T7" s="57">
        <v>0.39754968472112912</v>
      </c>
      <c r="U7" s="57">
        <v>0.53181245801973609</v>
      </c>
      <c r="V7" s="57">
        <v>0.48101017716965505</v>
      </c>
      <c r="W7" s="57">
        <v>0.46377686917980709</v>
      </c>
      <c r="X7" s="57">
        <v>0.75798008485518598</v>
      </c>
      <c r="Y7" s="57">
        <v>1.0739701321366313</v>
      </c>
      <c r="Z7" s="57">
        <v>0.76516976559340488</v>
      </c>
      <c r="AA7" s="57">
        <v>1.1704434356326079</v>
      </c>
      <c r="AB7" s="57">
        <v>1.7811527536853577</v>
      </c>
      <c r="AC7" s="57">
        <v>2.1912757914540264</v>
      </c>
      <c r="AD7" s="57">
        <v>1.4265606436433211</v>
      </c>
      <c r="AE7" s="75">
        <v>1.3332999999999999</v>
      </c>
    </row>
    <row r="8" spans="2:31" ht="18" thickBot="1">
      <c r="B8" s="96" t="s">
        <v>63</v>
      </c>
      <c r="C8" s="48" t="s">
        <v>32</v>
      </c>
      <c r="D8" s="50">
        <f ca="1">IFERROR(__xludf.DUMMYFUNCTION("IMPORTRANGE(""18m7_5Vy-SocSuBMtXmritoiWfMy_VSJ0LqQCfdmFyYU/edit?gid=852545723"",""'1.자산투자(원금)'!q7"")"),16711196)</f>
        <v>16711196</v>
      </c>
      <c r="E8" s="58">
        <v>24491196</v>
      </c>
      <c r="F8" s="58">
        <v>24491196</v>
      </c>
      <c r="G8" s="49">
        <v>24491196</v>
      </c>
      <c r="H8" s="58">
        <v>24491196</v>
      </c>
      <c r="I8" s="58">
        <v>24491196</v>
      </c>
      <c r="J8" s="58">
        <v>24491196</v>
      </c>
      <c r="K8" s="58">
        <v>24491196</v>
      </c>
      <c r="L8" s="58">
        <v>24491196</v>
      </c>
      <c r="M8" s="58">
        <v>24491196</v>
      </c>
      <c r="N8" s="58">
        <v>24491196</v>
      </c>
      <c r="O8" s="58">
        <v>24491196</v>
      </c>
      <c r="P8" s="58">
        <v>24491196</v>
      </c>
      <c r="Q8" s="58">
        <v>24491196</v>
      </c>
      <c r="R8" s="58">
        <v>24491196</v>
      </c>
      <c r="S8" s="58">
        <v>16391196</v>
      </c>
      <c r="T8" s="58">
        <v>16391196</v>
      </c>
      <c r="U8" s="58">
        <v>16391196</v>
      </c>
      <c r="V8" s="58">
        <v>16391196</v>
      </c>
      <c r="W8" s="58">
        <v>16391196</v>
      </c>
      <c r="X8" s="58">
        <v>16391196</v>
      </c>
      <c r="Y8" s="58">
        <v>16391196</v>
      </c>
      <c r="Z8" s="58">
        <v>16391196</v>
      </c>
      <c r="AA8" s="58">
        <v>16391196</v>
      </c>
      <c r="AB8" s="58">
        <v>16391196</v>
      </c>
      <c r="AC8" s="58">
        <v>16391196</v>
      </c>
      <c r="AD8" s="58">
        <v>16391196</v>
      </c>
      <c r="AE8" s="76">
        <v>16711196</v>
      </c>
    </row>
    <row r="9" spans="2:31" ht="18" thickBot="1">
      <c r="B9" s="92"/>
      <c r="C9" s="48" t="s">
        <v>60</v>
      </c>
      <c r="D9" s="59"/>
      <c r="E9" s="54">
        <v>35435385</v>
      </c>
      <c r="F9" s="54">
        <v>33583395</v>
      </c>
      <c r="G9" s="54">
        <v>31658970</v>
      </c>
      <c r="H9" s="54">
        <v>31645005</v>
      </c>
      <c r="I9" s="54">
        <v>33819180</v>
      </c>
      <c r="J9" s="55">
        <v>35122425</v>
      </c>
      <c r="K9" s="55">
        <v>36126130</v>
      </c>
      <c r="L9" s="55">
        <v>35522555</v>
      </c>
      <c r="M9" s="55">
        <v>33422755</v>
      </c>
      <c r="N9" s="55">
        <v>30813335</v>
      </c>
      <c r="O9" s="55">
        <v>29447985</v>
      </c>
      <c r="P9" s="55">
        <v>34058580</v>
      </c>
      <c r="Q9" s="55">
        <v>34960105</v>
      </c>
      <c r="R9" s="55">
        <v>34093590</v>
      </c>
      <c r="S9" s="55">
        <v>26204340</v>
      </c>
      <c r="T9" s="55">
        <v>28460790</v>
      </c>
      <c r="U9" s="55">
        <v>32406730</v>
      </c>
      <c r="V9" s="55">
        <v>30692400</v>
      </c>
      <c r="W9" s="55">
        <v>31494660</v>
      </c>
      <c r="X9" s="55">
        <v>43730090</v>
      </c>
      <c r="Y9" s="55">
        <v>53035845</v>
      </c>
      <c r="Z9" s="55">
        <v>42990955</v>
      </c>
      <c r="AA9" s="55">
        <v>56113290</v>
      </c>
      <c r="AB9" s="55">
        <v>70079105</v>
      </c>
      <c r="AC9" s="55">
        <v>85021835</v>
      </c>
      <c r="AD9" s="55">
        <v>54684120</v>
      </c>
      <c r="AE9" s="73">
        <v>54087285</v>
      </c>
    </row>
    <row r="10" spans="2:31" ht="18" thickBot="1">
      <c r="B10" s="92"/>
      <c r="C10" s="48" t="s">
        <v>61</v>
      </c>
      <c r="D10" s="60"/>
      <c r="E10" s="56">
        <v>10944189</v>
      </c>
      <c r="F10" s="56">
        <v>9092199</v>
      </c>
      <c r="G10" s="56">
        <v>7167774</v>
      </c>
      <c r="H10" s="56">
        <v>7153809</v>
      </c>
      <c r="I10" s="56">
        <v>9327984</v>
      </c>
      <c r="J10" s="56">
        <v>10631229</v>
      </c>
      <c r="K10" s="56">
        <v>11634934</v>
      </c>
      <c r="L10" s="56">
        <v>11031359</v>
      </c>
      <c r="M10" s="56">
        <v>8931559</v>
      </c>
      <c r="N10" s="56">
        <v>6322139</v>
      </c>
      <c r="O10" s="56">
        <v>4956789</v>
      </c>
      <c r="P10" s="56">
        <v>9567384</v>
      </c>
      <c r="Q10" s="56">
        <v>10468909</v>
      </c>
      <c r="R10" s="56">
        <v>9602394</v>
      </c>
      <c r="S10" s="56">
        <v>9813144</v>
      </c>
      <c r="T10" s="56">
        <v>12069594</v>
      </c>
      <c r="U10" s="56">
        <v>16015534</v>
      </c>
      <c r="V10" s="56">
        <v>14301204</v>
      </c>
      <c r="W10" s="56">
        <v>15103464</v>
      </c>
      <c r="X10" s="56">
        <v>27338894</v>
      </c>
      <c r="Y10" s="56">
        <v>36644649</v>
      </c>
      <c r="Z10" s="56">
        <v>26599759</v>
      </c>
      <c r="AA10" s="56">
        <v>39722094</v>
      </c>
      <c r="AB10" s="56">
        <v>53687909</v>
      </c>
      <c r="AC10" s="56">
        <v>68630639</v>
      </c>
      <c r="AD10" s="56">
        <v>38292924</v>
      </c>
      <c r="AE10" s="74">
        <v>37376089</v>
      </c>
    </row>
    <row r="11" spans="2:31" ht="18" thickBot="1">
      <c r="B11" s="86"/>
      <c r="C11" s="48" t="s">
        <v>23</v>
      </c>
      <c r="D11" s="61"/>
      <c r="E11" s="57">
        <v>0.44686217038971882</v>
      </c>
      <c r="F11" s="57">
        <v>0.37124356850518858</v>
      </c>
      <c r="G11" s="57">
        <v>0.29266737320627378</v>
      </c>
      <c r="H11" s="57">
        <v>0.29209716830488802</v>
      </c>
      <c r="I11" s="57">
        <v>0.38087090561032627</v>
      </c>
      <c r="J11" s="57">
        <v>0.43408370093481757</v>
      </c>
      <c r="K11" s="57">
        <v>0.47506597881132467</v>
      </c>
      <c r="L11" s="57">
        <v>0.45042140857473845</v>
      </c>
      <c r="M11" s="57">
        <v>0.36468447682179345</v>
      </c>
      <c r="N11" s="57">
        <v>0.25813925134566723</v>
      </c>
      <c r="O11" s="57">
        <v>0.20239064682672092</v>
      </c>
      <c r="P11" s="57">
        <v>0.39064584677693975</v>
      </c>
      <c r="Q11" s="57">
        <v>0.42745601317306026</v>
      </c>
      <c r="R11" s="57">
        <v>0.3920753400528092</v>
      </c>
      <c r="S11" s="57">
        <v>0.59868383002680214</v>
      </c>
      <c r="T11" s="57">
        <v>0.73634614582120794</v>
      </c>
      <c r="U11" s="57">
        <v>0.9770814771539551</v>
      </c>
      <c r="V11" s="57">
        <v>0.87249301393260137</v>
      </c>
      <c r="W11" s="57">
        <v>0.92143758149191801</v>
      </c>
      <c r="X11" s="57">
        <v>1.667901109839697</v>
      </c>
      <c r="Y11" s="57">
        <v>2.2356299686734267</v>
      </c>
      <c r="Z11" s="57">
        <v>1.6228076950577615</v>
      </c>
      <c r="AA11" s="57">
        <v>2.4233798436672958</v>
      </c>
      <c r="AB11" s="57">
        <v>3.2754113244695504</v>
      </c>
      <c r="AC11" s="57">
        <v>4.1870427880918513</v>
      </c>
      <c r="AD11" s="57">
        <v>2.3361885246201681</v>
      </c>
      <c r="AE11" s="75">
        <v>2.2366000000000001</v>
      </c>
    </row>
    <row r="12" spans="2:31" ht="18" thickBot="1">
      <c r="B12" s="96" t="s">
        <v>64</v>
      </c>
      <c r="C12" s="48" t="s">
        <v>32</v>
      </c>
      <c r="D12" s="50">
        <f ca="1">IFERROR(__xludf.DUMMYFUNCTION("IMPORTRANGE(""18m7_5Vy-SocSuBMtXmritoiWfMy_VSJ0LqQCfdmFyYU/edit?gid=852545723"",""'1.자산투자(원금)'!q8"")"),15690000)</f>
        <v>15690000</v>
      </c>
      <c r="E12" s="62">
        <v>3000000</v>
      </c>
      <c r="F12" s="62">
        <v>3500000</v>
      </c>
      <c r="G12" s="51">
        <v>4000000</v>
      </c>
      <c r="H12" s="62">
        <v>4550000</v>
      </c>
      <c r="I12" s="58">
        <v>5050000</v>
      </c>
      <c r="J12" s="62">
        <v>5550000</v>
      </c>
      <c r="K12" s="62">
        <v>6050000</v>
      </c>
      <c r="L12" s="62">
        <v>6600000</v>
      </c>
      <c r="M12" s="62">
        <v>7050000</v>
      </c>
      <c r="N12" s="62">
        <v>7050000</v>
      </c>
      <c r="O12" s="62">
        <v>7050000</v>
      </c>
      <c r="P12" s="62">
        <v>7050000</v>
      </c>
      <c r="Q12" s="62">
        <v>8750000</v>
      </c>
      <c r="R12" s="62">
        <v>11050000</v>
      </c>
      <c r="S12" s="62">
        <v>11050000</v>
      </c>
      <c r="T12" s="62">
        <v>11050000</v>
      </c>
      <c r="U12" s="62">
        <v>11050000</v>
      </c>
      <c r="V12" s="62">
        <v>11550000</v>
      </c>
      <c r="W12" s="62">
        <v>12050000</v>
      </c>
      <c r="X12" s="62">
        <v>12550000</v>
      </c>
      <c r="Y12" s="62">
        <v>13050000</v>
      </c>
      <c r="Z12" s="62">
        <v>13550000</v>
      </c>
      <c r="AA12" s="62">
        <v>13550000</v>
      </c>
      <c r="AB12" s="62">
        <v>14550000</v>
      </c>
      <c r="AC12" s="62">
        <v>15050000</v>
      </c>
      <c r="AD12" s="62">
        <v>15550000</v>
      </c>
      <c r="AE12" s="76">
        <v>15690000</v>
      </c>
    </row>
    <row r="13" spans="2:31" ht="18" thickBot="1">
      <c r="B13" s="92"/>
      <c r="C13" s="48" t="s">
        <v>60</v>
      </c>
      <c r="D13" s="59"/>
      <c r="E13" s="54">
        <v>3600800</v>
      </c>
      <c r="F13" s="54">
        <v>3903135</v>
      </c>
      <c r="G13" s="54">
        <v>4173855</v>
      </c>
      <c r="H13" s="54">
        <v>4676840</v>
      </c>
      <c r="I13" s="54">
        <v>5483065</v>
      </c>
      <c r="J13" s="55">
        <v>6185235</v>
      </c>
      <c r="K13" s="55">
        <v>6872315</v>
      </c>
      <c r="L13" s="55">
        <v>7245365</v>
      </c>
      <c r="M13" s="55">
        <v>6881815</v>
      </c>
      <c r="N13" s="55">
        <v>6368860</v>
      </c>
      <c r="O13" s="55">
        <v>6476770</v>
      </c>
      <c r="P13" s="55">
        <v>7524790</v>
      </c>
      <c r="Q13" s="55">
        <v>9518625</v>
      </c>
      <c r="R13" s="55">
        <v>11576035</v>
      </c>
      <c r="S13" s="55">
        <v>11595720</v>
      </c>
      <c r="T13" s="55">
        <v>12540790</v>
      </c>
      <c r="U13" s="55">
        <v>14061930</v>
      </c>
      <c r="V13" s="55">
        <v>13928920</v>
      </c>
      <c r="W13" s="55">
        <v>14132025</v>
      </c>
      <c r="X13" s="55">
        <v>20507265</v>
      </c>
      <c r="Y13" s="55">
        <v>25551720</v>
      </c>
      <c r="Z13" s="55">
        <v>21285300</v>
      </c>
      <c r="AA13" s="55">
        <v>28337230</v>
      </c>
      <c r="AB13" s="55">
        <v>36284295</v>
      </c>
      <c r="AC13" s="55">
        <v>44447840</v>
      </c>
      <c r="AD13" s="55">
        <v>31101390</v>
      </c>
      <c r="AE13" s="73">
        <v>30297850</v>
      </c>
    </row>
    <row r="14" spans="2:31" ht="18" thickBot="1">
      <c r="B14" s="92"/>
      <c r="C14" s="48" t="s">
        <v>61</v>
      </c>
      <c r="D14" s="53"/>
      <c r="E14" s="56">
        <v>600800</v>
      </c>
      <c r="F14" s="56">
        <v>403135</v>
      </c>
      <c r="G14" s="56">
        <v>173855</v>
      </c>
      <c r="H14" s="56">
        <v>626840</v>
      </c>
      <c r="I14" s="56">
        <v>433065</v>
      </c>
      <c r="J14" s="56">
        <v>635235</v>
      </c>
      <c r="K14" s="56">
        <v>822315</v>
      </c>
      <c r="L14" s="56">
        <v>645365</v>
      </c>
      <c r="M14" s="56">
        <v>-168185</v>
      </c>
      <c r="N14" s="56">
        <v>-681140</v>
      </c>
      <c r="O14" s="56">
        <v>-573230</v>
      </c>
      <c r="P14" s="56">
        <v>474790</v>
      </c>
      <c r="Q14" s="56">
        <v>768625</v>
      </c>
      <c r="R14" s="56">
        <v>526035</v>
      </c>
      <c r="S14" s="56">
        <v>545720</v>
      </c>
      <c r="T14" s="56">
        <v>1490790</v>
      </c>
      <c r="U14" s="56">
        <v>3011930</v>
      </c>
      <c r="V14" s="56">
        <v>2378920</v>
      </c>
      <c r="W14" s="56">
        <v>2082025</v>
      </c>
      <c r="X14" s="56">
        <v>7957265</v>
      </c>
      <c r="Y14" s="56">
        <v>12501720</v>
      </c>
      <c r="Z14" s="56">
        <v>7735300</v>
      </c>
      <c r="AA14" s="56">
        <v>14787230</v>
      </c>
      <c r="AB14" s="56">
        <v>21734295</v>
      </c>
      <c r="AC14" s="56">
        <v>29397840</v>
      </c>
      <c r="AD14" s="56">
        <v>15551390</v>
      </c>
      <c r="AE14" s="74">
        <v>14607850</v>
      </c>
    </row>
    <row r="15" spans="2:31" ht="18" thickBot="1">
      <c r="B15" s="86"/>
      <c r="C15" s="48" t="s">
        <v>23</v>
      </c>
      <c r="D15" s="59"/>
      <c r="E15" s="57">
        <v>0.20026666666666668</v>
      </c>
      <c r="F15" s="57">
        <v>0.11518142857142857</v>
      </c>
      <c r="G15" s="57">
        <v>4.3463750000000002E-2</v>
      </c>
      <c r="H15" s="57">
        <v>0.15477530864197531</v>
      </c>
      <c r="I15" s="57">
        <v>8.5755445544554457E-2</v>
      </c>
      <c r="J15" s="57">
        <v>0.11445675675675676</v>
      </c>
      <c r="K15" s="57">
        <v>0.13591983471074381</v>
      </c>
      <c r="L15" s="57">
        <v>9.7782575757575763E-2</v>
      </c>
      <c r="M15" s="57">
        <v>-2.3856028368794326E-2</v>
      </c>
      <c r="N15" s="57">
        <v>-9.6615602836879436E-2</v>
      </c>
      <c r="O15" s="57">
        <v>-8.1309219858156034E-2</v>
      </c>
      <c r="P15" s="57">
        <v>6.7346099290780143E-2</v>
      </c>
      <c r="Q15" s="57">
        <v>8.7842857142857139E-2</v>
      </c>
      <c r="R15" s="57">
        <v>4.7604977375565613E-2</v>
      </c>
      <c r="S15" s="57">
        <v>4.9386425339366519E-2</v>
      </c>
      <c r="T15" s="57">
        <v>0.1349131221719457</v>
      </c>
      <c r="U15" s="57">
        <v>0.27257285067873305</v>
      </c>
      <c r="V15" s="57">
        <v>0.20596709956709958</v>
      </c>
      <c r="W15" s="57">
        <v>0.17278215767634855</v>
      </c>
      <c r="X15" s="57">
        <v>0.6340450199203187</v>
      </c>
      <c r="Y15" s="57">
        <v>0.95798620689655167</v>
      </c>
      <c r="Z15" s="57">
        <v>0.57087084870848703</v>
      </c>
      <c r="AA15" s="57">
        <v>1.0913084870848708</v>
      </c>
      <c r="AB15" s="57">
        <v>1.4937659793814433</v>
      </c>
      <c r="AC15" s="57">
        <v>1.9533448504983388</v>
      </c>
      <c r="AD15" s="57">
        <v>1.0000893890675242</v>
      </c>
      <c r="AE15" s="75">
        <v>0.93100000000000005</v>
      </c>
    </row>
    <row r="16" spans="2:31" ht="18" thickBot="1">
      <c r="B16" s="96" t="s">
        <v>65</v>
      </c>
      <c r="C16" s="48" t="s">
        <v>32</v>
      </c>
      <c r="D16" s="50">
        <f ca="1">IFERROR(__xludf.DUMMYFUNCTION("IMPORTRANGE(""18m7_5Vy-SocSuBMtXmritoiWfMy_VSJ0LqQCfdmFyYU/edit?gid=852545723"",""'1.자산투자(원금)'!q9"")"),51684545)</f>
        <v>51684545</v>
      </c>
      <c r="E16" s="58">
        <v>33898174</v>
      </c>
      <c r="F16" s="58">
        <v>33898174</v>
      </c>
      <c r="G16" s="58">
        <v>33898174</v>
      </c>
      <c r="H16" s="58">
        <v>33498174</v>
      </c>
      <c r="I16" s="58">
        <v>33498174</v>
      </c>
      <c r="J16" s="58">
        <v>33498174</v>
      </c>
      <c r="K16" s="58">
        <v>42040249</v>
      </c>
      <c r="L16" s="58">
        <v>42040249</v>
      </c>
      <c r="M16" s="58">
        <v>42040249</v>
      </c>
      <c r="N16" s="58">
        <v>42040249</v>
      </c>
      <c r="O16" s="58">
        <v>42040249</v>
      </c>
      <c r="P16" s="58">
        <v>42040249</v>
      </c>
      <c r="Q16" s="58">
        <v>42040249</v>
      </c>
      <c r="R16" s="58">
        <v>42040249</v>
      </c>
      <c r="S16" s="58">
        <v>42040249</v>
      </c>
      <c r="T16" s="58">
        <v>42040249</v>
      </c>
      <c r="U16" s="58">
        <v>42040249</v>
      </c>
      <c r="V16" s="58">
        <v>42040249</v>
      </c>
      <c r="W16" s="58">
        <v>51337875</v>
      </c>
      <c r="X16" s="58">
        <v>51504545</v>
      </c>
      <c r="Y16" s="58">
        <v>51504545</v>
      </c>
      <c r="Z16" s="58">
        <v>51504545</v>
      </c>
      <c r="AA16" s="58">
        <v>51504545</v>
      </c>
      <c r="AB16" s="58">
        <v>51504545</v>
      </c>
      <c r="AC16" s="58">
        <v>51504545</v>
      </c>
      <c r="AD16" s="58">
        <v>51504545</v>
      </c>
      <c r="AE16" s="76">
        <v>51684545</v>
      </c>
    </row>
    <row r="17" spans="1:31" ht="18" thickBot="1">
      <c r="B17" s="92"/>
      <c r="C17" s="48" t="s">
        <v>60</v>
      </c>
      <c r="D17" s="59"/>
      <c r="E17" s="54">
        <v>41777490</v>
      </c>
      <c r="F17" s="54">
        <v>40556125</v>
      </c>
      <c r="G17" s="54">
        <v>38881665</v>
      </c>
      <c r="H17" s="54">
        <v>38888295</v>
      </c>
      <c r="I17" s="54">
        <v>41472715</v>
      </c>
      <c r="J17" s="55">
        <v>42859910</v>
      </c>
      <c r="K17" s="55">
        <v>52322500</v>
      </c>
      <c r="L17" s="55">
        <v>51299405</v>
      </c>
      <c r="M17" s="55">
        <v>49103075</v>
      </c>
      <c r="N17" s="55">
        <v>46016950</v>
      </c>
      <c r="O17" s="55">
        <v>40596060</v>
      </c>
      <c r="P17" s="55">
        <v>45470130</v>
      </c>
      <c r="Q17" s="55">
        <v>48394070</v>
      </c>
      <c r="R17" s="55">
        <v>48274965</v>
      </c>
      <c r="S17" s="55">
        <v>48001200</v>
      </c>
      <c r="T17" s="55">
        <v>51370680</v>
      </c>
      <c r="U17" s="55">
        <v>56568385</v>
      </c>
      <c r="V17" s="55">
        <v>55134715</v>
      </c>
      <c r="W17" s="55">
        <v>54571615</v>
      </c>
      <c r="X17" s="55">
        <v>77536065</v>
      </c>
      <c r="Y17" s="55">
        <v>91455590</v>
      </c>
      <c r="Z17" s="55">
        <v>77826305</v>
      </c>
      <c r="AA17" s="55">
        <v>95803930</v>
      </c>
      <c r="AB17" s="55">
        <v>122744580</v>
      </c>
      <c r="AC17" s="55">
        <v>138667595</v>
      </c>
      <c r="AD17" s="55">
        <v>102572495</v>
      </c>
      <c r="AE17" s="73">
        <v>99701260</v>
      </c>
    </row>
    <row r="18" spans="1:31" ht="18" thickBot="1">
      <c r="B18" s="92"/>
      <c r="C18" s="48" t="s">
        <v>61</v>
      </c>
      <c r="D18" s="53"/>
      <c r="E18" s="56">
        <v>7879316</v>
      </c>
      <c r="F18" s="56">
        <v>6657951</v>
      </c>
      <c r="G18" s="56">
        <v>4983491</v>
      </c>
      <c r="H18" s="56">
        <v>5390121</v>
      </c>
      <c r="I18" s="56">
        <v>7974541</v>
      </c>
      <c r="J18" s="56">
        <v>9361736</v>
      </c>
      <c r="K18" s="56">
        <v>10282251</v>
      </c>
      <c r="L18" s="56">
        <v>9259156</v>
      </c>
      <c r="M18" s="56">
        <v>7062826</v>
      </c>
      <c r="N18" s="56">
        <v>3976701</v>
      </c>
      <c r="O18" s="56">
        <v>-1444189</v>
      </c>
      <c r="P18" s="56">
        <v>3429881</v>
      </c>
      <c r="Q18" s="56">
        <v>6353821</v>
      </c>
      <c r="R18" s="56">
        <v>6234716</v>
      </c>
      <c r="S18" s="56">
        <v>5960951</v>
      </c>
      <c r="T18" s="56">
        <v>9330431</v>
      </c>
      <c r="U18" s="56">
        <v>14528136</v>
      </c>
      <c r="V18" s="56">
        <v>13094466</v>
      </c>
      <c r="W18" s="56">
        <v>3233740</v>
      </c>
      <c r="X18" s="56">
        <v>26031520</v>
      </c>
      <c r="Y18" s="56">
        <v>39951045</v>
      </c>
      <c r="Z18" s="56">
        <v>26321760</v>
      </c>
      <c r="AA18" s="56">
        <v>44299385</v>
      </c>
      <c r="AB18" s="56">
        <v>71240035</v>
      </c>
      <c r="AC18" s="56">
        <v>87163050</v>
      </c>
      <c r="AD18" s="56">
        <v>51067950</v>
      </c>
      <c r="AE18" s="74">
        <v>48016715</v>
      </c>
    </row>
    <row r="19" spans="1:31" ht="18" thickBot="1">
      <c r="B19" s="86"/>
      <c r="C19" s="48" t="s">
        <v>23</v>
      </c>
      <c r="D19" s="59"/>
      <c r="E19" s="57">
        <v>0.23244072084826753</v>
      </c>
      <c r="F19" s="57">
        <v>0.19641031401868431</v>
      </c>
      <c r="G19" s="57">
        <v>0.14701355300140945</v>
      </c>
      <c r="H19" s="57">
        <v>0.1609079050099865</v>
      </c>
      <c r="I19" s="57">
        <v>0.23805897599075102</v>
      </c>
      <c r="J19" s="57">
        <v>0.27947003917288149</v>
      </c>
      <c r="K19" s="57">
        <v>0.24458111558758847</v>
      </c>
      <c r="L19" s="57">
        <v>0.22024503232604545</v>
      </c>
      <c r="M19" s="57">
        <v>0.16800152634681112</v>
      </c>
      <c r="N19" s="57">
        <v>9.4592708049850038E-2</v>
      </c>
      <c r="O19" s="57">
        <v>-3.4352532022348392E-2</v>
      </c>
      <c r="P19" s="57">
        <v>8.1585649028862797E-2</v>
      </c>
      <c r="Q19" s="57">
        <v>0.15113661672175158</v>
      </c>
      <c r="R19" s="57">
        <v>0.14830349839269505</v>
      </c>
      <c r="S19" s="57">
        <v>0.14179152459349134</v>
      </c>
      <c r="T19" s="57">
        <v>0.22194043141847233</v>
      </c>
      <c r="U19" s="57">
        <v>0.3455768304321889</v>
      </c>
      <c r="V19" s="57">
        <v>0.31147451100967549</v>
      </c>
      <c r="W19" s="57">
        <v>6.2989362142472791E-2</v>
      </c>
      <c r="X19" s="57">
        <v>0.50542180306611773</v>
      </c>
      <c r="Y19" s="57">
        <v>0.77567999096002105</v>
      </c>
      <c r="Z19" s="57">
        <v>0.51105703389865886</v>
      </c>
      <c r="AA19" s="57">
        <v>0.86010632653875496</v>
      </c>
      <c r="AB19" s="57">
        <v>1.3831795815301349</v>
      </c>
      <c r="AC19" s="57">
        <v>1.69233705491428</v>
      </c>
      <c r="AD19" s="57">
        <v>0.99152317528482192</v>
      </c>
      <c r="AE19" s="75">
        <v>0.92900000000000005</v>
      </c>
    </row>
    <row r="20" spans="1:31" ht="18" thickBot="1">
      <c r="B20" s="96" t="s">
        <v>68</v>
      </c>
      <c r="C20" s="48" t="s">
        <v>32</v>
      </c>
      <c r="D20" s="50">
        <f ca="1">IFERROR(__xludf.DUMMYFUNCTION("IMPORTRANGE(""18m7_5Vy-SocSuBMtXmritoiWfMy_VSJ0LqQCfdmFyYU/edit?gid=852545723"",""'1.자산투자(원금)'!q11"")"),5000000)</f>
        <v>5000000</v>
      </c>
      <c r="E20" s="58">
        <v>15813667</v>
      </c>
      <c r="F20" s="58">
        <v>15813667</v>
      </c>
      <c r="G20" s="58">
        <v>15813667</v>
      </c>
      <c r="H20" s="58">
        <v>15813667</v>
      </c>
      <c r="I20" s="58">
        <v>15813667</v>
      </c>
      <c r="J20" s="58">
        <v>15813667</v>
      </c>
      <c r="K20" s="58">
        <v>15813667</v>
      </c>
      <c r="L20" s="58">
        <v>15813667</v>
      </c>
      <c r="M20" s="58">
        <v>15813667</v>
      </c>
      <c r="N20" s="58">
        <v>15813667</v>
      </c>
      <c r="O20" s="58">
        <v>15813667</v>
      </c>
      <c r="P20" s="58">
        <v>15813667</v>
      </c>
      <c r="Q20" s="58">
        <v>15813667</v>
      </c>
      <c r="R20" s="58">
        <v>15813667</v>
      </c>
      <c r="S20" s="58">
        <v>15813667</v>
      </c>
      <c r="T20" s="58">
        <v>15813667</v>
      </c>
      <c r="U20" s="58">
        <v>15813667</v>
      </c>
      <c r="V20" s="58">
        <v>15813667</v>
      </c>
      <c r="W20" s="58">
        <v>15813667</v>
      </c>
      <c r="X20" s="58">
        <v>5813667</v>
      </c>
      <c r="Y20" s="58">
        <v>5363667</v>
      </c>
      <c r="Z20" s="58">
        <v>5363667</v>
      </c>
      <c r="AA20" s="58">
        <v>5363667</v>
      </c>
      <c r="AB20" s="58">
        <v>0</v>
      </c>
      <c r="AC20" s="58">
        <v>0</v>
      </c>
      <c r="AD20" s="58">
        <v>0</v>
      </c>
      <c r="AE20" s="76">
        <v>5000000</v>
      </c>
    </row>
    <row r="21" spans="1:31" ht="18" thickBot="1">
      <c r="B21" s="92"/>
      <c r="C21" s="48" t="s">
        <v>60</v>
      </c>
      <c r="D21" s="59"/>
      <c r="E21" s="54">
        <v>32668614.534400001</v>
      </c>
      <c r="F21" s="54">
        <v>28546392.347199999</v>
      </c>
      <c r="G21" s="54">
        <v>27823985.388399996</v>
      </c>
      <c r="H21" s="54">
        <v>27378502.9474</v>
      </c>
      <c r="I21" s="54">
        <v>35669064.4877754</v>
      </c>
      <c r="J21" s="55">
        <v>37647349.3411</v>
      </c>
      <c r="K21" s="55">
        <v>33048142.073508807</v>
      </c>
      <c r="L21" s="55">
        <v>26396038.157921799</v>
      </c>
      <c r="M21" s="55">
        <v>24622835.575999998</v>
      </c>
      <c r="N21" s="55">
        <v>22334843.537677601</v>
      </c>
      <c r="O21" s="55">
        <v>23539044.865000002</v>
      </c>
      <c r="P21" s="55">
        <v>32163016.007999994</v>
      </c>
      <c r="Q21" s="55">
        <v>36007618.476235501</v>
      </c>
      <c r="R21" s="55">
        <v>47554699.711500004</v>
      </c>
      <c r="S21" s="55">
        <v>45056100.031113602</v>
      </c>
      <c r="T21" s="55">
        <v>49587072.410370804</v>
      </c>
      <c r="U21" s="55">
        <v>58330939.619700007</v>
      </c>
      <c r="V21" s="55">
        <v>49750986.712499999</v>
      </c>
      <c r="W21" s="55">
        <v>49182754.331145003</v>
      </c>
      <c r="X21" s="55">
        <v>18023817.0255</v>
      </c>
      <c r="Y21" s="55">
        <v>16584984</v>
      </c>
      <c r="Z21" s="55">
        <v>17356751.158499997</v>
      </c>
      <c r="AA21" s="55">
        <v>19103548.873500001</v>
      </c>
      <c r="AB21" s="55">
        <v>0</v>
      </c>
      <c r="AC21" s="55">
        <v>0</v>
      </c>
      <c r="AD21" s="55">
        <v>20300</v>
      </c>
      <c r="AE21" s="73">
        <v>22608121</v>
      </c>
    </row>
    <row r="22" spans="1:31" ht="18" thickBot="1">
      <c r="B22" s="92"/>
      <c r="C22" s="48" t="s">
        <v>61</v>
      </c>
      <c r="D22" s="53"/>
      <c r="E22" s="56">
        <v>16854947.534400001</v>
      </c>
      <c r="F22" s="56">
        <v>12732725.347199999</v>
      </c>
      <c r="G22" s="56">
        <v>12010318.388399996</v>
      </c>
      <c r="H22" s="56">
        <v>11564835.9474</v>
      </c>
      <c r="I22" s="56">
        <v>19855397.4877754</v>
      </c>
      <c r="J22" s="56">
        <v>21833682.3411</v>
      </c>
      <c r="K22" s="56">
        <v>17234475.073508807</v>
      </c>
      <c r="L22" s="56">
        <v>10582371.157921799</v>
      </c>
      <c r="M22" s="56">
        <v>8809168.5759999976</v>
      </c>
      <c r="N22" s="56">
        <v>6521176.537677601</v>
      </c>
      <c r="O22" s="56">
        <v>7725377.8650000021</v>
      </c>
      <c r="P22" s="56">
        <v>16349349.007999994</v>
      </c>
      <c r="Q22" s="56">
        <v>20193951.476235501</v>
      </c>
      <c r="R22" s="56">
        <v>31741032.711500004</v>
      </c>
      <c r="S22" s="56">
        <v>29242433.031113602</v>
      </c>
      <c r="T22" s="56">
        <v>33773405.410370804</v>
      </c>
      <c r="U22" s="56">
        <v>42517272.619700007</v>
      </c>
      <c r="V22" s="56">
        <v>33937319.712499999</v>
      </c>
      <c r="W22" s="56">
        <v>33369087.331145003</v>
      </c>
      <c r="X22" s="56">
        <v>12210150.0255</v>
      </c>
      <c r="Y22" s="56">
        <v>11221317</v>
      </c>
      <c r="Z22" s="56">
        <v>11993084.158499997</v>
      </c>
      <c r="AA22" s="56">
        <v>13739881.873500001</v>
      </c>
      <c r="AB22" s="56">
        <v>0</v>
      </c>
      <c r="AC22" s="56">
        <v>0</v>
      </c>
      <c r="AD22" s="56">
        <v>20300</v>
      </c>
      <c r="AE22" s="74">
        <v>17608121</v>
      </c>
    </row>
    <row r="23" spans="1:31" ht="18" thickBot="1">
      <c r="B23" s="86"/>
      <c r="C23" s="48" t="s">
        <v>23</v>
      </c>
      <c r="D23" s="59"/>
      <c r="E23" s="57">
        <v>1.0658468737453495</v>
      </c>
      <c r="F23" s="57">
        <v>0.80517221889141832</v>
      </c>
      <c r="G23" s="57">
        <v>0.75948977478784618</v>
      </c>
      <c r="H23" s="57">
        <v>0.73131905126116536</v>
      </c>
      <c r="I23" s="57">
        <v>1.2555846463552951</v>
      </c>
      <c r="J23" s="57">
        <v>1.3806843372318387</v>
      </c>
      <c r="K23" s="57">
        <v>1.0898468440943399</v>
      </c>
      <c r="L23" s="57">
        <v>0.66919147582415883</v>
      </c>
      <c r="M23" s="57">
        <v>0.55706045764084933</v>
      </c>
      <c r="N23" s="57">
        <v>0.41237598702929568</v>
      </c>
      <c r="O23" s="57">
        <v>0.4885253916754414</v>
      </c>
      <c r="P23" s="57">
        <v>1.0338746230080598</v>
      </c>
      <c r="Q23" s="57">
        <v>1.276993595238568</v>
      </c>
      <c r="R23" s="57">
        <v>2.0071899017160284</v>
      </c>
      <c r="S23" s="57">
        <v>1.8491873536424919</v>
      </c>
      <c r="T23" s="57">
        <v>2.1357099153770474</v>
      </c>
      <c r="U23" s="57">
        <v>2.6886409470807755</v>
      </c>
      <c r="V23" s="57">
        <v>2.1460752722629102</v>
      </c>
      <c r="W23" s="57">
        <v>2.1101422795323188</v>
      </c>
      <c r="X23" s="57">
        <v>2.1002492962703228</v>
      </c>
      <c r="Y23" s="57">
        <v>2.0920979993724442</v>
      </c>
      <c r="Z23" s="57">
        <v>2.2359859697665789</v>
      </c>
      <c r="AA23" s="57">
        <v>2.561658259824855</v>
      </c>
      <c r="AB23" s="57" t="e">
        <v>#DIV/0!</v>
      </c>
      <c r="AC23" s="57" t="e">
        <v>#DIV/0!</v>
      </c>
      <c r="AD23" s="57" t="e">
        <v>#DIV/0!</v>
      </c>
      <c r="AE23" s="75">
        <v>3.5215999999999998</v>
      </c>
    </row>
    <row r="24" spans="1:31" ht="18" thickBot="1">
      <c r="B24" s="97" t="s">
        <v>69</v>
      </c>
      <c r="C24" s="48" t="s">
        <v>32</v>
      </c>
      <c r="D24" s="50">
        <f ca="1">IFERROR(__xludf.DUMMYFUNCTION("IMPORTRANGE(""18m7_5Vy-SocSuBMtXmritoiWfMy_VSJ0LqQCfdmFyYU/edit?gid=852545723"",""'1.자산투자(원금)'!q12"")"),30000)</f>
        <v>30000</v>
      </c>
      <c r="E24" s="52">
        <v>111300000</v>
      </c>
      <c r="F24" s="63">
        <v>111950000</v>
      </c>
      <c r="G24" s="51">
        <v>112600000</v>
      </c>
      <c r="H24" s="52">
        <v>112280321</v>
      </c>
      <c r="I24" s="52">
        <v>113580321</v>
      </c>
      <c r="J24" s="63">
        <v>114230321</v>
      </c>
      <c r="K24" s="63">
        <v>127791801</v>
      </c>
      <c r="L24" s="62">
        <v>123346301.47660939</v>
      </c>
      <c r="M24" s="62">
        <v>128446301.47660939</v>
      </c>
      <c r="N24" s="62">
        <v>128446301.47660939</v>
      </c>
      <c r="O24" s="62">
        <v>121655097.7499294</v>
      </c>
      <c r="P24" s="62">
        <v>121655097.7499294</v>
      </c>
      <c r="Q24" s="62">
        <v>121655097.7499294</v>
      </c>
      <c r="R24" s="62">
        <v>104621097.7499294</v>
      </c>
      <c r="S24" s="62">
        <v>110721097.7499294</v>
      </c>
      <c r="T24" s="62">
        <v>108230384.7499294</v>
      </c>
      <c r="U24" s="62">
        <v>104510384.7499294</v>
      </c>
      <c r="V24" s="62">
        <v>102190384.7499294</v>
      </c>
      <c r="W24" s="62">
        <v>84853718</v>
      </c>
      <c r="X24" s="62">
        <v>62103718</v>
      </c>
      <c r="Y24" s="62">
        <v>62103718</v>
      </c>
      <c r="Z24" s="62">
        <v>12103718</v>
      </c>
      <c r="AA24" s="62">
        <v>12103718</v>
      </c>
      <c r="AB24" s="62">
        <v>0</v>
      </c>
      <c r="AC24" s="62">
        <v>0</v>
      </c>
      <c r="AD24" s="62">
        <v>0</v>
      </c>
      <c r="AE24" s="76">
        <v>30000</v>
      </c>
    </row>
    <row r="25" spans="1:31" ht="18" thickBot="1">
      <c r="B25" s="92"/>
      <c r="C25" s="48" t="s">
        <v>60</v>
      </c>
      <c r="D25" s="59"/>
      <c r="E25" s="54">
        <v>226201810.74880001</v>
      </c>
      <c r="F25" s="54">
        <v>192584350.39140001</v>
      </c>
      <c r="G25" s="54">
        <v>185797153.82930002</v>
      </c>
      <c r="H25" s="54">
        <v>178606599.51460001</v>
      </c>
      <c r="I25" s="54">
        <v>237315590.67702293</v>
      </c>
      <c r="J25" s="55">
        <v>234355182.16185004</v>
      </c>
      <c r="K25" s="55">
        <v>222972627.16628823</v>
      </c>
      <c r="L25" s="55">
        <v>176660294.44926071</v>
      </c>
      <c r="M25" s="55">
        <v>164408331.984</v>
      </c>
      <c r="N25" s="55">
        <v>138857228.34280443</v>
      </c>
      <c r="O25" s="55">
        <v>123791245.56</v>
      </c>
      <c r="P25" s="55">
        <v>176924727.21599996</v>
      </c>
      <c r="Q25" s="55">
        <v>164228654.8753776</v>
      </c>
      <c r="R25" s="55">
        <v>193222158.42720002</v>
      </c>
      <c r="S25" s="55">
        <v>189226326.46327078</v>
      </c>
      <c r="T25" s="55">
        <v>201604753.84693378</v>
      </c>
      <c r="U25" s="55">
        <v>239885502.75270003</v>
      </c>
      <c r="V25" s="55">
        <v>203861775.27000001</v>
      </c>
      <c r="W25" s="55">
        <v>197954335.87946203</v>
      </c>
      <c r="X25" s="55">
        <v>131498938.2366</v>
      </c>
      <c r="Y25" s="55">
        <v>119281478.40000001</v>
      </c>
      <c r="Z25" s="55">
        <v>21095128.331099998</v>
      </c>
      <c r="AA25" s="55">
        <v>23218159.4001</v>
      </c>
      <c r="AB25" s="55">
        <v>132872.90532000002</v>
      </c>
      <c r="AC25" s="55"/>
      <c r="AD25" s="55"/>
      <c r="AE25" s="73">
        <v>126545</v>
      </c>
    </row>
    <row r="26" spans="1:31" ht="18" thickBot="1">
      <c r="B26" s="92"/>
      <c r="C26" s="48" t="s">
        <v>61</v>
      </c>
      <c r="D26" s="53"/>
      <c r="E26" s="56">
        <v>114901810.74880001</v>
      </c>
      <c r="F26" s="56">
        <v>80634350.391400009</v>
      </c>
      <c r="G26" s="56">
        <v>73197153.829300016</v>
      </c>
      <c r="H26" s="56">
        <v>66326278.514600009</v>
      </c>
      <c r="I26" s="56">
        <v>123735269.67702293</v>
      </c>
      <c r="J26" s="56">
        <v>120124861.16185004</v>
      </c>
      <c r="K26" s="56">
        <v>95180826.166288227</v>
      </c>
      <c r="L26" s="56">
        <v>53313992.972651318</v>
      </c>
      <c r="M26" s="56">
        <v>35962030.507390603</v>
      </c>
      <c r="N26" s="56">
        <v>10410926.866195038</v>
      </c>
      <c r="O26" s="56">
        <v>2136147.8100706041</v>
      </c>
      <c r="P26" s="56">
        <v>55269629.466070563</v>
      </c>
      <c r="Q26" s="56">
        <v>42573557.125448197</v>
      </c>
      <c r="R26" s="56">
        <v>88601060.677270621</v>
      </c>
      <c r="S26" s="56">
        <v>78505228.713341385</v>
      </c>
      <c r="T26" s="56">
        <v>93374369.097004384</v>
      </c>
      <c r="U26" s="56">
        <v>135375118.00277063</v>
      </c>
      <c r="V26" s="56">
        <v>101671390.52007061</v>
      </c>
      <c r="W26" s="56">
        <v>113100617.87946203</v>
      </c>
      <c r="X26" s="56">
        <v>69395220.236599997</v>
      </c>
      <c r="Y26" s="56">
        <v>57177760.400000006</v>
      </c>
      <c r="Z26" s="56">
        <v>8991410.3310999982</v>
      </c>
      <c r="AA26" s="56">
        <v>11114441.4001</v>
      </c>
      <c r="AB26" s="56">
        <v>132872.90532000002</v>
      </c>
      <c r="AC26" s="56">
        <v>0</v>
      </c>
      <c r="AD26" s="56">
        <v>0</v>
      </c>
      <c r="AE26" s="74">
        <v>96545</v>
      </c>
    </row>
    <row r="27" spans="1:31" ht="18" thickBot="1">
      <c r="B27" s="86"/>
      <c r="C27" s="48" t="s">
        <v>23</v>
      </c>
      <c r="D27" s="59"/>
      <c r="E27" s="57">
        <v>1.03236128255885</v>
      </c>
      <c r="F27" s="57">
        <v>0.72027110666726224</v>
      </c>
      <c r="G27" s="57">
        <v>0.65006353311989362</v>
      </c>
      <c r="H27" s="57">
        <v>0.59072042120898471</v>
      </c>
      <c r="I27" s="57">
        <v>1.0894076419895216</v>
      </c>
      <c r="J27" s="57">
        <v>1.051602237569218</v>
      </c>
      <c r="K27" s="57">
        <v>0.74481168135574072</v>
      </c>
      <c r="L27" s="57">
        <v>0.43223017094486166</v>
      </c>
      <c r="M27" s="57">
        <v>0.2799771585010522</v>
      </c>
      <c r="N27" s="57">
        <v>8.1052757039414725E-2</v>
      </c>
      <c r="O27" s="57">
        <v>1.7559048897906489E-2</v>
      </c>
      <c r="P27" s="57">
        <v>0.45431412647977293</v>
      </c>
      <c r="Q27" s="57">
        <v>0.34995292357547675</v>
      </c>
      <c r="R27" s="57">
        <v>0.84687565493768113</v>
      </c>
      <c r="S27" s="57">
        <v>0.70903585954910242</v>
      </c>
      <c r="T27" s="57">
        <v>0.86273710763155442</v>
      </c>
      <c r="U27" s="57">
        <v>1.295326950778086</v>
      </c>
      <c r="V27" s="57">
        <v>0.99492130075516572</v>
      </c>
      <c r="W27" s="57">
        <v>1.3328893600096821</v>
      </c>
      <c r="X27" s="57">
        <v>1.117408465570451</v>
      </c>
      <c r="Y27" s="57">
        <v>0.9206817601484022</v>
      </c>
      <c r="Z27" s="57">
        <v>0.7428635012068191</v>
      </c>
      <c r="AA27" s="57">
        <v>0.91826671772260393</v>
      </c>
      <c r="AB27" s="57" t="e">
        <v>#DIV/0!</v>
      </c>
      <c r="AC27" s="57" t="e">
        <v>#DIV/0!</v>
      </c>
      <c r="AD27" s="57" t="e">
        <v>#DIV/0!</v>
      </c>
      <c r="AE27" s="75">
        <v>3.2181999999999999</v>
      </c>
    </row>
    <row r="28" spans="1:31" ht="18" thickBot="1">
      <c r="B28" s="98" t="s">
        <v>66</v>
      </c>
      <c r="C28" s="48" t="s">
        <v>32</v>
      </c>
      <c r="D28" s="50">
        <f ca="1">IFERROR(__xludf.DUMMYFUNCTION("IMPORTRANGE(""18m7_5Vy-SocSuBMtXmritoiWfMy_VSJ0LqQCfdmFyYU/edit?gid=852545723"",""'1.자산투자(원금)'!q13"")"),2750000)</f>
        <v>2750000</v>
      </c>
      <c r="E28" s="52">
        <v>111300000</v>
      </c>
      <c r="F28" s="63">
        <v>111950000</v>
      </c>
      <c r="G28" s="51">
        <v>112600000</v>
      </c>
      <c r="H28" s="52">
        <v>112280321</v>
      </c>
      <c r="I28" s="52">
        <v>113580321</v>
      </c>
      <c r="J28" s="63">
        <v>114230321</v>
      </c>
      <c r="K28" s="63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>
        <v>500000</v>
      </c>
      <c r="W28" s="62">
        <v>1000000</v>
      </c>
      <c r="X28" s="62">
        <v>1250000</v>
      </c>
      <c r="Y28" s="62">
        <v>1500000</v>
      </c>
      <c r="Z28" s="62">
        <v>1750000</v>
      </c>
      <c r="AA28" s="62">
        <v>1750000</v>
      </c>
      <c r="AB28" s="62">
        <v>2250000</v>
      </c>
      <c r="AC28" s="62">
        <v>2500000</v>
      </c>
      <c r="AD28" s="62">
        <v>2750000</v>
      </c>
      <c r="AE28" s="76">
        <v>2750000</v>
      </c>
    </row>
    <row r="29" spans="1:31" ht="18" thickBot="1">
      <c r="B29" s="92"/>
      <c r="C29" s="48" t="s">
        <v>60</v>
      </c>
      <c r="D29" s="59"/>
      <c r="E29" s="54">
        <v>226201810.74880001</v>
      </c>
      <c r="F29" s="54">
        <v>192584350.39140001</v>
      </c>
      <c r="G29" s="54">
        <v>185797153.82930002</v>
      </c>
      <c r="H29" s="54">
        <v>178606599.51460001</v>
      </c>
      <c r="I29" s="54">
        <v>237315590.67702293</v>
      </c>
      <c r="J29" s="55">
        <v>234355182.16185004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>
        <v>548130</v>
      </c>
      <c r="W29" s="55">
        <v>1169340</v>
      </c>
      <c r="X29" s="55">
        <v>1470550</v>
      </c>
      <c r="Y29" s="55">
        <v>2003625</v>
      </c>
      <c r="Z29" s="55">
        <v>1996217</v>
      </c>
      <c r="AA29" s="55">
        <v>2695525</v>
      </c>
      <c r="AB29" s="55">
        <v>3670925</v>
      </c>
      <c r="AC29" s="55">
        <v>4658525</v>
      </c>
      <c r="AD29" s="55">
        <v>4120950</v>
      </c>
      <c r="AE29" s="73">
        <v>3609500</v>
      </c>
    </row>
    <row r="30" spans="1:31" ht="18" thickBot="1">
      <c r="B30" s="92"/>
      <c r="C30" s="48" t="s">
        <v>61</v>
      </c>
      <c r="D30" s="53"/>
      <c r="E30" s="56">
        <v>114901810.74880001</v>
      </c>
      <c r="F30" s="56">
        <v>80634350.391400009</v>
      </c>
      <c r="G30" s="56">
        <v>73197153.829300016</v>
      </c>
      <c r="H30" s="56">
        <v>66326278.514600009</v>
      </c>
      <c r="I30" s="56">
        <v>123735269.67702293</v>
      </c>
      <c r="J30" s="56">
        <v>120124861.16185004</v>
      </c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>
        <v>48130</v>
      </c>
      <c r="W30" s="56">
        <v>169340</v>
      </c>
      <c r="X30" s="56">
        <v>220550</v>
      </c>
      <c r="Y30" s="56">
        <v>503625</v>
      </c>
      <c r="Z30" s="56">
        <v>246217</v>
      </c>
      <c r="AA30" s="56">
        <v>945525</v>
      </c>
      <c r="AB30" s="56">
        <v>1420925</v>
      </c>
      <c r="AC30" s="56">
        <v>2158525</v>
      </c>
      <c r="AD30" s="56">
        <v>1370950</v>
      </c>
      <c r="AE30" s="74">
        <v>859500</v>
      </c>
    </row>
    <row r="31" spans="1:31" ht="18" thickBot="1">
      <c r="B31" s="86"/>
      <c r="C31" s="48" t="s">
        <v>23</v>
      </c>
      <c r="D31" s="59"/>
      <c r="E31" s="57">
        <v>1.03236128255885</v>
      </c>
      <c r="F31" s="57">
        <v>0.72027110666726224</v>
      </c>
      <c r="G31" s="57">
        <v>0.65006353311989362</v>
      </c>
      <c r="H31" s="57">
        <v>0.59072042120898471</v>
      </c>
      <c r="I31" s="57">
        <v>1.0894076419895216</v>
      </c>
      <c r="J31" s="57">
        <v>1.051602237569218</v>
      </c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>
        <v>9.6259999999999998E-2</v>
      </c>
      <c r="W31" s="57">
        <v>0.16933999999999999</v>
      </c>
      <c r="X31" s="57">
        <v>0.17644000000000001</v>
      </c>
      <c r="Y31" s="57">
        <v>0.33574999999999999</v>
      </c>
      <c r="Z31" s="57">
        <v>0.14069542857142858</v>
      </c>
      <c r="AA31" s="57">
        <v>0.5403</v>
      </c>
      <c r="AB31" s="57">
        <v>0.63152222222222221</v>
      </c>
      <c r="AC31" s="57">
        <v>0.86341000000000001</v>
      </c>
      <c r="AD31" s="57">
        <v>0.49852727272727271</v>
      </c>
      <c r="AE31" s="75">
        <v>0.3125</v>
      </c>
    </row>
    <row r="32" spans="1:31" ht="15.75" customHeight="1" thickBot="1">
      <c r="A32" s="43"/>
      <c r="B32" s="98" t="s">
        <v>67</v>
      </c>
      <c r="C32" s="64" t="s">
        <v>32</v>
      </c>
      <c r="D32" s="65">
        <f ca="1">IFERROR(__xludf.DUMMYFUNCTION("IMPORTRANGE(""18m7_5Vy-SocSuBMtXmritoiWfMy_VSJ0LqQCfdmFyYU/edit?gid=852545723"",""'1.자산투자(원금)'!q14"")"),11629532)</f>
        <v>11629532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7">
        <v>11077990</v>
      </c>
      <c r="Y32" s="67">
        <v>11077990</v>
      </c>
      <c r="Z32" s="67">
        <v>11077990</v>
      </c>
      <c r="AA32" s="67">
        <v>11077990</v>
      </c>
      <c r="AB32" s="67">
        <v>16441657</v>
      </c>
      <c r="AC32" s="67">
        <v>16441657</v>
      </c>
      <c r="AD32" s="67">
        <v>16441657</v>
      </c>
      <c r="AE32" s="76">
        <v>11629532</v>
      </c>
    </row>
    <row r="33" spans="1:31" ht="18" thickBot="1">
      <c r="A33" s="43"/>
      <c r="B33" s="92"/>
      <c r="C33" s="64" t="s">
        <v>60</v>
      </c>
      <c r="D33" s="53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7">
        <v>1808799.8317</v>
      </c>
      <c r="Y33" s="67">
        <v>41553230.399999999</v>
      </c>
      <c r="Z33" s="67">
        <v>34194513.088</v>
      </c>
      <c r="AA33" s="67">
        <v>44522842.997599997</v>
      </c>
      <c r="AB33" s="67">
        <v>79479785</v>
      </c>
      <c r="AC33" s="67">
        <v>77493900</v>
      </c>
      <c r="AD33" s="67">
        <v>50547830</v>
      </c>
      <c r="AE33" s="73">
        <v>24111440</v>
      </c>
    </row>
    <row r="34" spans="1:31" ht="18" thickBot="1">
      <c r="A34" s="43"/>
      <c r="B34" s="92"/>
      <c r="C34" s="64" t="s">
        <v>61</v>
      </c>
      <c r="D34" s="53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>
        <v>-9269190.1682999991</v>
      </c>
      <c r="Y34" s="66">
        <v>30475240.399999999</v>
      </c>
      <c r="Z34" s="66">
        <v>23116523.088</v>
      </c>
      <c r="AA34" s="66">
        <v>33444852.997599997</v>
      </c>
      <c r="AB34" s="66">
        <v>63038128</v>
      </c>
      <c r="AC34" s="66">
        <v>61052243</v>
      </c>
      <c r="AD34" s="66">
        <v>34106173</v>
      </c>
      <c r="AE34" s="74">
        <v>12481908</v>
      </c>
    </row>
    <row r="35" spans="1:31" ht="18" thickBot="1">
      <c r="A35" s="43"/>
      <c r="B35" s="86"/>
      <c r="C35" s="64" t="s">
        <v>23</v>
      </c>
      <c r="D35" s="53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9">
        <v>-0.83672129766320413</v>
      </c>
      <c r="Y35" s="69">
        <v>2.7509720084600184</v>
      </c>
      <c r="Z35" s="69">
        <v>2.0867073438412564</v>
      </c>
      <c r="AA35" s="69">
        <v>3.0190362148368068</v>
      </c>
      <c r="AB35" s="69">
        <v>3.8340495729840369</v>
      </c>
      <c r="AC35" s="69">
        <v>3.7132658222951616</v>
      </c>
      <c r="AD35" s="69">
        <v>2.0743756544732688</v>
      </c>
      <c r="AE35" s="75">
        <v>1.0732999999999999</v>
      </c>
    </row>
    <row r="36" spans="1:31" ht="18" thickBot="1">
      <c r="A36" s="43"/>
      <c r="B36" s="98" t="s">
        <v>70</v>
      </c>
      <c r="C36" s="64" t="s">
        <v>32</v>
      </c>
      <c r="D36" s="65">
        <f ca="1">IFERROR(__xludf.DUMMYFUNCTION("IMPORTRANGE(""18m7_5Vy-SocSuBMtXmritoiWfMy_VSJ0LqQCfdmFyYU/edit?gid=852545723"",""'1.자산투자(원금)'!q15"")"),56403718)</f>
        <v>56403718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7">
        <v>16000000</v>
      </c>
      <c r="Y36" s="67">
        <v>23590000</v>
      </c>
      <c r="Z36" s="67">
        <v>107300000</v>
      </c>
      <c r="AA36" s="67">
        <v>107550000</v>
      </c>
      <c r="AB36" s="67">
        <v>118653718</v>
      </c>
      <c r="AC36" s="67">
        <v>61903718</v>
      </c>
      <c r="AD36" s="67">
        <v>56153718</v>
      </c>
      <c r="AE36" s="76">
        <v>56403718</v>
      </c>
    </row>
    <row r="37" spans="1:31" ht="18" thickBot="1">
      <c r="A37" s="43"/>
      <c r="B37" s="92"/>
      <c r="C37" s="64" t="s">
        <v>60</v>
      </c>
      <c r="D37" s="53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7">
        <v>61156800</v>
      </c>
      <c r="Y37" s="67">
        <v>94890300</v>
      </c>
      <c r="Z37" s="67">
        <v>169901215</v>
      </c>
      <c r="AA37" s="67">
        <v>203144730</v>
      </c>
      <c r="AB37" s="67">
        <v>286194495</v>
      </c>
      <c r="AC37" s="67">
        <v>254088640</v>
      </c>
      <c r="AD37" s="67">
        <v>162606735</v>
      </c>
      <c r="AE37" s="73">
        <v>157815675</v>
      </c>
    </row>
    <row r="38" spans="1:31" ht="18" thickBot="1">
      <c r="A38" s="43"/>
      <c r="B38" s="92"/>
      <c r="C38" s="64" t="s">
        <v>61</v>
      </c>
      <c r="D38" s="53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>
        <v>45156800</v>
      </c>
      <c r="Y38" s="66">
        <v>71300300</v>
      </c>
      <c r="Z38" s="66">
        <v>62601215</v>
      </c>
      <c r="AA38" s="66">
        <v>95594730</v>
      </c>
      <c r="AB38" s="66">
        <v>167540777</v>
      </c>
      <c r="AC38" s="66">
        <v>192184922</v>
      </c>
      <c r="AD38" s="66">
        <v>106453017</v>
      </c>
      <c r="AE38" s="74">
        <v>101411957</v>
      </c>
    </row>
    <row r="39" spans="1:31" ht="18" thickBot="1">
      <c r="A39" s="43"/>
      <c r="B39" s="101"/>
      <c r="C39" s="83" t="s">
        <v>23</v>
      </c>
      <c r="D39" s="53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9">
        <v>2.8222999999999998</v>
      </c>
      <c r="Y39" s="69">
        <v>3.0224798643493007</v>
      </c>
      <c r="Z39" s="69">
        <v>0.58342232059645849</v>
      </c>
      <c r="AA39" s="69">
        <v>0.88883988842398887</v>
      </c>
      <c r="AB39" s="69">
        <v>1.4120145565097253</v>
      </c>
      <c r="AC39" s="69">
        <v>3.1045780158148175</v>
      </c>
      <c r="AD39" s="69">
        <v>1.8957429853531693</v>
      </c>
      <c r="AE39" s="75">
        <v>1.798</v>
      </c>
    </row>
    <row r="40" spans="1:31" ht="18" thickBot="1">
      <c r="A40" s="43"/>
      <c r="B40" s="102" t="s">
        <v>71</v>
      </c>
      <c r="C40" s="84" t="s">
        <v>32</v>
      </c>
      <c r="D40" s="79">
        <f ca="1">IFERROR(__xludf.DUMMYFUNCTION("IMPORTRANGE(""18m7_5Vy-SocSuBMtXmritoiWfMy_VSJ0LqQCfdmFyYU/edit?gid=852545723"",""'1.자산투자(원금)'!q10"")"),40710000)</f>
        <v>40710000</v>
      </c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7"/>
      <c r="Y40" s="67"/>
      <c r="Z40" s="67"/>
      <c r="AA40" s="67"/>
      <c r="AB40" s="67">
        <v>40500000</v>
      </c>
      <c r="AC40" s="67">
        <v>40500000</v>
      </c>
      <c r="AD40" s="67">
        <v>40500000</v>
      </c>
      <c r="AE40" s="76">
        <v>40710000</v>
      </c>
    </row>
    <row r="41" spans="1:31" ht="18" thickBot="1">
      <c r="A41" s="43"/>
      <c r="B41" s="95"/>
      <c r="C41" s="84" t="s">
        <v>60</v>
      </c>
      <c r="D41" s="80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7"/>
      <c r="Y41" s="67"/>
      <c r="Z41" s="67"/>
      <c r="AA41" s="67"/>
      <c r="AB41" s="67">
        <v>75988260</v>
      </c>
      <c r="AC41" s="67">
        <v>91633535</v>
      </c>
      <c r="AD41" s="67">
        <v>63439055</v>
      </c>
      <c r="AE41" s="73">
        <v>60318350</v>
      </c>
    </row>
    <row r="42" spans="1:31" ht="18" thickBot="1">
      <c r="A42" s="43"/>
      <c r="B42" s="95"/>
      <c r="C42" s="84" t="s">
        <v>61</v>
      </c>
      <c r="D42" s="80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>
        <v>60988260</v>
      </c>
      <c r="AC42" s="66">
        <v>51133535</v>
      </c>
      <c r="AD42" s="66">
        <v>22939055</v>
      </c>
      <c r="AE42" s="74">
        <v>19608350</v>
      </c>
    </row>
    <row r="43" spans="1:31" ht="18" thickBot="1">
      <c r="A43" s="43"/>
      <c r="B43" s="95"/>
      <c r="C43" s="84" t="s">
        <v>23</v>
      </c>
      <c r="D43" s="80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9"/>
      <c r="Y43" s="69"/>
      <c r="Z43" s="69"/>
      <c r="AA43" s="69"/>
      <c r="AB43" s="69">
        <v>4.0658839999999996</v>
      </c>
      <c r="AC43" s="69">
        <v>1.2625564197530865</v>
      </c>
      <c r="AD43" s="69">
        <v>0.56639641975308641</v>
      </c>
      <c r="AE43" s="75">
        <v>0.48170000000000002</v>
      </c>
    </row>
    <row r="44" spans="1:31" ht="19.8" thickBot="1">
      <c r="B44" s="94" t="s">
        <v>50</v>
      </c>
      <c r="C44" s="95"/>
      <c r="D44" s="81">
        <f ca="1">SUM(D4:D36)</f>
        <v>273993095</v>
      </c>
      <c r="E44" s="70">
        <v>493344010.28320003</v>
      </c>
      <c r="F44" s="70">
        <v>447144797.73860002</v>
      </c>
      <c r="G44" s="70">
        <v>430406979.2177</v>
      </c>
      <c r="H44" s="70">
        <v>423550802.46200001</v>
      </c>
      <c r="I44" s="70">
        <v>505838135.16479832</v>
      </c>
      <c r="J44" s="70">
        <v>513631066.50295001</v>
      </c>
      <c r="K44" s="70">
        <v>512119344.239797</v>
      </c>
      <c r="L44" s="70">
        <v>454984112.6071825</v>
      </c>
      <c r="M44" s="70">
        <v>429591872.56</v>
      </c>
      <c r="N44" s="70">
        <v>386080761.88048202</v>
      </c>
      <c r="O44" s="70">
        <v>349092395.42500001</v>
      </c>
      <c r="P44" s="70">
        <v>436770128.22399998</v>
      </c>
      <c r="Q44" s="70">
        <v>440975153.3516131</v>
      </c>
      <c r="R44" s="70">
        <v>483546613.13870001</v>
      </c>
      <c r="S44" s="70">
        <v>467689976.49438441</v>
      </c>
      <c r="T44" s="70">
        <v>501769511.25730461</v>
      </c>
      <c r="U44" s="70">
        <v>574657727.37240005</v>
      </c>
      <c r="V44" s="70">
        <v>521570246.98249996</v>
      </c>
      <c r="W44" s="70">
        <v>514207205.21060705</v>
      </c>
      <c r="X44" s="70">
        <v>555657035.09380007</v>
      </c>
      <c r="Y44" s="70">
        <v>680217167.79999995</v>
      </c>
      <c r="Z44" s="70">
        <v>635202976.53119993</v>
      </c>
      <c r="AA44" s="70">
        <v>780505101.27119994</v>
      </c>
      <c r="AB44" s="70">
        <v>990858422.90532005</v>
      </c>
      <c r="AC44" s="70">
        <v>1058936850</v>
      </c>
      <c r="AD44" s="70">
        <v>745051310</v>
      </c>
      <c r="AE44" s="77">
        <v>718888171</v>
      </c>
    </row>
    <row r="45" spans="1:31" ht="19.8" thickBot="1">
      <c r="B45" s="94" t="s">
        <v>23</v>
      </c>
      <c r="C45" s="95"/>
      <c r="D45" s="82"/>
      <c r="E45" s="71">
        <v>0.69269335191632531</v>
      </c>
      <c r="F45" s="71">
        <v>0.53418103939605566</v>
      </c>
      <c r="G45" s="71">
        <v>0.47675256444680952</v>
      </c>
      <c r="H45" s="71">
        <v>0.4044143245321038</v>
      </c>
      <c r="I45" s="71">
        <v>0.66183462910676472</v>
      </c>
      <c r="J45" s="71">
        <v>0.67971109913021277</v>
      </c>
      <c r="K45" s="71">
        <v>0.55830401619719616</v>
      </c>
      <c r="L45" s="71">
        <v>0.39997947078398549</v>
      </c>
      <c r="M45" s="71">
        <v>0.29867116412731126</v>
      </c>
      <c r="N45" s="71">
        <v>0.16713556401944427</v>
      </c>
      <c r="O45" s="71">
        <v>7.7438303228494682E-2</v>
      </c>
      <c r="P45" s="71">
        <v>0.34804674069636699</v>
      </c>
      <c r="Q45" s="71">
        <v>0.35392126530091372</v>
      </c>
      <c r="R45" s="71">
        <v>0.55372208879535623</v>
      </c>
      <c r="S45" s="71">
        <v>0.51249168288842806</v>
      </c>
      <c r="T45" s="71">
        <v>0.6358804151258356</v>
      </c>
      <c r="U45" s="71">
        <v>0.89651320825441283</v>
      </c>
      <c r="V45" s="71">
        <v>0.72884274517833825</v>
      </c>
      <c r="W45" s="71">
        <v>0.74515490496915227</v>
      </c>
      <c r="X45" s="71">
        <v>0.91331926437533151</v>
      </c>
      <c r="Y45" s="71">
        <v>1.2802724263423884</v>
      </c>
      <c r="Z45" s="71">
        <v>0.9088622799317787</v>
      </c>
      <c r="AA45" s="71">
        <v>1.3437520401355829</v>
      </c>
      <c r="AB45" s="71">
        <v>1.970954137881084</v>
      </c>
      <c r="AC45" s="71">
        <v>2.815779365182205</v>
      </c>
      <c r="AD45" s="71">
        <v>1.7339805461140849</v>
      </c>
      <c r="AE45" s="78">
        <v>1.6236999999999999</v>
      </c>
    </row>
    <row r="46" spans="1:31" ht="13.2">
      <c r="B46" s="1"/>
      <c r="C46" s="1"/>
    </row>
    <row r="47" spans="1:31" ht="13.2">
      <c r="B47" s="1"/>
      <c r="C47" s="1"/>
    </row>
    <row r="48" spans="1:31" ht="13.2">
      <c r="B48" s="1"/>
      <c r="C48" s="1"/>
    </row>
    <row r="49" spans="2:3" ht="13.2">
      <c r="B49" s="1"/>
      <c r="C49" s="1"/>
    </row>
    <row r="50" spans="2:3" ht="13.2">
      <c r="B50" s="1"/>
      <c r="C50" s="1"/>
    </row>
    <row r="51" spans="2:3" ht="13.2">
      <c r="B51" s="1"/>
      <c r="C51" s="1"/>
    </row>
    <row r="52" spans="2:3" ht="13.2">
      <c r="B52" s="1"/>
      <c r="C52" s="1"/>
    </row>
    <row r="53" spans="2:3" ht="13.2">
      <c r="B53" s="1"/>
      <c r="C53" s="1"/>
    </row>
    <row r="54" spans="2:3" ht="13.2">
      <c r="B54" s="1"/>
      <c r="C54" s="1"/>
    </row>
    <row r="55" spans="2:3" ht="13.2">
      <c r="B55" s="1"/>
      <c r="C55" s="1"/>
    </row>
    <row r="56" spans="2:3" ht="13.2">
      <c r="B56" s="1"/>
      <c r="C56" s="1"/>
    </row>
    <row r="57" spans="2:3" ht="13.2">
      <c r="B57" s="1"/>
      <c r="C57" s="1"/>
    </row>
    <row r="58" spans="2:3" ht="13.2">
      <c r="B58" s="1"/>
      <c r="C58" s="1"/>
    </row>
    <row r="59" spans="2:3" ht="13.2">
      <c r="B59" s="1"/>
      <c r="C59" s="1"/>
    </row>
    <row r="60" spans="2:3" ht="13.2">
      <c r="B60" s="1"/>
      <c r="C60" s="1"/>
    </row>
    <row r="61" spans="2:3" ht="13.2">
      <c r="B61" s="1"/>
      <c r="C61" s="1"/>
    </row>
    <row r="62" spans="2:3" ht="13.2">
      <c r="B62" s="1"/>
      <c r="C62" s="1"/>
    </row>
    <row r="63" spans="2:3" ht="13.2">
      <c r="B63" s="1"/>
      <c r="C63" s="1"/>
    </row>
    <row r="64" spans="2:3" ht="13.2">
      <c r="B64" s="1"/>
      <c r="C64" s="1"/>
    </row>
    <row r="65" spans="2:3" ht="13.2">
      <c r="B65" s="1"/>
      <c r="C65" s="1"/>
    </row>
    <row r="66" spans="2:3" ht="13.2">
      <c r="B66" s="1"/>
      <c r="C66" s="1"/>
    </row>
    <row r="67" spans="2:3" ht="13.2">
      <c r="B67" s="1"/>
      <c r="C67" s="1"/>
    </row>
    <row r="68" spans="2:3" ht="13.2">
      <c r="B68" s="1"/>
      <c r="C68" s="1"/>
    </row>
    <row r="69" spans="2:3" ht="13.2">
      <c r="B69" s="1"/>
      <c r="C69" s="1"/>
    </row>
    <row r="70" spans="2:3" ht="13.2">
      <c r="B70" s="1"/>
      <c r="C70" s="1"/>
    </row>
    <row r="71" spans="2:3" ht="13.2">
      <c r="B71" s="1"/>
      <c r="C71" s="1"/>
    </row>
    <row r="72" spans="2:3" ht="13.2">
      <c r="B72" s="1"/>
      <c r="C72" s="1"/>
    </row>
    <row r="73" spans="2:3" ht="13.2">
      <c r="B73" s="1"/>
      <c r="C73" s="1"/>
    </row>
    <row r="74" spans="2:3" ht="13.2">
      <c r="B74" s="1"/>
      <c r="C74" s="1"/>
    </row>
    <row r="75" spans="2:3" ht="13.2">
      <c r="B75" s="1"/>
      <c r="C75" s="1"/>
    </row>
    <row r="76" spans="2:3" ht="13.2">
      <c r="B76" s="1"/>
      <c r="C76" s="1"/>
    </row>
    <row r="77" spans="2:3" ht="13.2">
      <c r="B77" s="1"/>
      <c r="C77" s="1"/>
    </row>
    <row r="78" spans="2:3" ht="13.2">
      <c r="B78" s="1"/>
      <c r="C78" s="1"/>
    </row>
    <row r="79" spans="2:3" ht="13.2">
      <c r="B79" s="1"/>
      <c r="C79" s="1"/>
    </row>
    <row r="80" spans="2:3" ht="13.2">
      <c r="B80" s="1"/>
      <c r="C80" s="1"/>
    </row>
    <row r="81" spans="2:3" ht="13.2">
      <c r="B81" s="1"/>
      <c r="C81" s="1"/>
    </row>
    <row r="82" spans="2:3" ht="13.2">
      <c r="B82" s="1"/>
      <c r="C82" s="1"/>
    </row>
    <row r="83" spans="2:3" ht="13.2">
      <c r="B83" s="1"/>
      <c r="C83" s="1"/>
    </row>
    <row r="84" spans="2:3" ht="13.2">
      <c r="B84" s="1"/>
      <c r="C84" s="1"/>
    </row>
    <row r="85" spans="2:3" ht="13.2">
      <c r="B85" s="1"/>
      <c r="C85" s="1"/>
    </row>
    <row r="86" spans="2:3" ht="13.2">
      <c r="B86" s="1"/>
      <c r="C86" s="1"/>
    </row>
    <row r="87" spans="2:3" ht="13.2">
      <c r="B87" s="1"/>
      <c r="C87" s="1"/>
    </row>
    <row r="88" spans="2:3" ht="13.2">
      <c r="B88" s="1"/>
      <c r="C88" s="1"/>
    </row>
    <row r="89" spans="2:3" ht="13.2">
      <c r="B89" s="1"/>
      <c r="C89" s="1"/>
    </row>
    <row r="90" spans="2:3" ht="13.2">
      <c r="B90" s="1"/>
      <c r="C90" s="1"/>
    </row>
    <row r="91" spans="2:3" ht="13.2">
      <c r="B91" s="1"/>
      <c r="C91" s="1"/>
    </row>
    <row r="92" spans="2:3" ht="13.2">
      <c r="B92" s="1"/>
      <c r="C92" s="1"/>
    </row>
    <row r="93" spans="2:3" ht="13.2">
      <c r="B93" s="1"/>
      <c r="C93" s="1"/>
    </row>
    <row r="94" spans="2:3" ht="13.2">
      <c r="B94" s="1"/>
      <c r="C94" s="1"/>
    </row>
    <row r="95" spans="2:3" ht="13.2">
      <c r="B95" s="1"/>
      <c r="C95" s="1"/>
    </row>
    <row r="96" spans="2:3" ht="13.2">
      <c r="B96" s="1"/>
      <c r="C96" s="1"/>
    </row>
    <row r="97" spans="2:3" ht="13.2">
      <c r="B97" s="1"/>
      <c r="C97" s="1"/>
    </row>
    <row r="98" spans="2:3" ht="13.2">
      <c r="B98" s="1"/>
      <c r="C98" s="1"/>
    </row>
    <row r="99" spans="2:3" ht="13.2">
      <c r="B99" s="1"/>
      <c r="C99" s="1"/>
    </row>
    <row r="100" spans="2:3" ht="13.2">
      <c r="B100" s="1"/>
      <c r="C100" s="1"/>
    </row>
    <row r="101" spans="2:3" ht="13.2">
      <c r="B101" s="1"/>
      <c r="C101" s="1"/>
    </row>
    <row r="102" spans="2:3" ht="13.2">
      <c r="B102" s="1"/>
      <c r="C102" s="1"/>
    </row>
    <row r="103" spans="2:3" ht="13.2">
      <c r="B103" s="1"/>
      <c r="C103" s="1"/>
    </row>
    <row r="104" spans="2:3" ht="13.2">
      <c r="B104" s="1"/>
      <c r="C104" s="1"/>
    </row>
    <row r="105" spans="2:3" ht="13.2">
      <c r="B105" s="1"/>
      <c r="C105" s="1"/>
    </row>
    <row r="106" spans="2:3" ht="13.2">
      <c r="B106" s="1"/>
      <c r="C106" s="1"/>
    </row>
    <row r="107" spans="2:3" ht="13.2">
      <c r="B107" s="1"/>
      <c r="C107" s="1"/>
    </row>
    <row r="108" spans="2:3" ht="13.2">
      <c r="B108" s="1"/>
      <c r="C108" s="1"/>
    </row>
    <row r="109" spans="2:3" ht="13.2">
      <c r="B109" s="1"/>
      <c r="C109" s="1"/>
    </row>
    <row r="110" spans="2:3" ht="13.2">
      <c r="B110" s="1"/>
      <c r="C110" s="1"/>
    </row>
    <row r="111" spans="2:3" ht="13.2">
      <c r="B111" s="1"/>
      <c r="C111" s="1"/>
    </row>
    <row r="112" spans="2:3" ht="13.2">
      <c r="B112" s="1"/>
      <c r="C112" s="1"/>
    </row>
    <row r="113" spans="2:3" ht="13.2">
      <c r="B113" s="1"/>
      <c r="C113" s="1"/>
    </row>
    <row r="114" spans="2:3" ht="13.2">
      <c r="B114" s="1"/>
      <c r="C114" s="1"/>
    </row>
    <row r="115" spans="2:3" ht="13.2">
      <c r="B115" s="1"/>
      <c r="C115" s="1"/>
    </row>
    <row r="116" spans="2:3" ht="13.2">
      <c r="B116" s="1"/>
      <c r="C116" s="1"/>
    </row>
    <row r="117" spans="2:3" ht="13.2">
      <c r="B117" s="1"/>
      <c r="C117" s="1"/>
    </row>
    <row r="118" spans="2:3" ht="13.2">
      <c r="B118" s="1"/>
      <c r="C118" s="1"/>
    </row>
    <row r="119" spans="2:3" ht="13.2">
      <c r="B119" s="1"/>
      <c r="C119" s="1"/>
    </row>
    <row r="120" spans="2:3" ht="13.2">
      <c r="B120" s="1"/>
      <c r="C120" s="1"/>
    </row>
    <row r="121" spans="2:3" ht="13.2">
      <c r="B121" s="1"/>
      <c r="C121" s="1"/>
    </row>
    <row r="122" spans="2:3" ht="13.2">
      <c r="B122" s="1"/>
      <c r="C122" s="1"/>
    </row>
    <row r="123" spans="2:3" ht="13.2">
      <c r="B123" s="1"/>
      <c r="C123" s="1"/>
    </row>
    <row r="124" spans="2:3" ht="13.2">
      <c r="B124" s="1"/>
      <c r="C124" s="1"/>
    </row>
    <row r="125" spans="2:3" ht="13.2">
      <c r="B125" s="1"/>
      <c r="C125" s="1"/>
    </row>
    <row r="126" spans="2:3" ht="13.2">
      <c r="B126" s="1"/>
      <c r="C126" s="1"/>
    </row>
    <row r="127" spans="2:3" ht="13.2">
      <c r="B127" s="1"/>
      <c r="C127" s="1"/>
    </row>
    <row r="128" spans="2:3" ht="13.2">
      <c r="B128" s="1"/>
      <c r="C128" s="1"/>
    </row>
    <row r="129" spans="2:3" ht="13.2">
      <c r="B129" s="1"/>
      <c r="C129" s="1"/>
    </row>
    <row r="130" spans="2:3" ht="13.2">
      <c r="B130" s="1"/>
      <c r="C130" s="1"/>
    </row>
    <row r="131" spans="2:3" ht="13.2">
      <c r="B131" s="1"/>
      <c r="C131" s="1"/>
    </row>
    <row r="132" spans="2:3" ht="13.2">
      <c r="B132" s="1"/>
      <c r="C132" s="1"/>
    </row>
    <row r="133" spans="2:3" ht="13.2">
      <c r="B133" s="1"/>
      <c r="C133" s="1"/>
    </row>
    <row r="134" spans="2:3" ht="13.2">
      <c r="B134" s="1"/>
      <c r="C134" s="1"/>
    </row>
    <row r="135" spans="2:3" ht="13.2">
      <c r="B135" s="1"/>
      <c r="C135" s="1"/>
    </row>
    <row r="136" spans="2:3" ht="13.2">
      <c r="B136" s="1"/>
      <c r="C136" s="1"/>
    </row>
    <row r="137" spans="2:3" ht="13.2">
      <c r="B137" s="1"/>
      <c r="C137" s="1"/>
    </row>
    <row r="138" spans="2:3" ht="13.2">
      <c r="B138" s="1"/>
      <c r="C138" s="1"/>
    </row>
    <row r="139" spans="2:3" ht="13.2">
      <c r="B139" s="1"/>
      <c r="C139" s="1"/>
    </row>
    <row r="140" spans="2:3" ht="13.2">
      <c r="B140" s="1"/>
      <c r="C140" s="1"/>
    </row>
    <row r="141" spans="2:3" ht="13.2">
      <c r="B141" s="1"/>
      <c r="C141" s="1"/>
    </row>
    <row r="142" spans="2:3" ht="13.2">
      <c r="B142" s="1"/>
      <c r="C142" s="1"/>
    </row>
    <row r="143" spans="2:3" ht="13.2">
      <c r="B143" s="1"/>
      <c r="C143" s="1"/>
    </row>
    <row r="144" spans="2:3" ht="13.2">
      <c r="B144" s="1"/>
      <c r="C144" s="1"/>
    </row>
    <row r="145" spans="2:3" ht="13.2">
      <c r="B145" s="1"/>
      <c r="C145" s="1"/>
    </row>
    <row r="146" spans="2:3" ht="13.2">
      <c r="B146" s="1"/>
      <c r="C146" s="1"/>
    </row>
    <row r="147" spans="2:3" ht="13.2">
      <c r="B147" s="1"/>
      <c r="C147" s="1"/>
    </row>
    <row r="148" spans="2:3" ht="13.2">
      <c r="B148" s="1"/>
      <c r="C148" s="1"/>
    </row>
    <row r="149" spans="2:3" ht="13.2">
      <c r="B149" s="1"/>
      <c r="C149" s="1"/>
    </row>
    <row r="150" spans="2:3" ht="13.2">
      <c r="B150" s="1"/>
      <c r="C150" s="1"/>
    </row>
    <row r="151" spans="2:3" ht="13.2">
      <c r="B151" s="1"/>
      <c r="C151" s="1"/>
    </row>
    <row r="152" spans="2:3" ht="13.2">
      <c r="B152" s="1"/>
      <c r="C152" s="1"/>
    </row>
    <row r="153" spans="2:3" ht="13.2">
      <c r="B153" s="1"/>
      <c r="C153" s="1"/>
    </row>
    <row r="154" spans="2:3" ht="13.2">
      <c r="B154" s="1"/>
      <c r="C154" s="1"/>
    </row>
    <row r="155" spans="2:3" ht="13.2">
      <c r="B155" s="1"/>
      <c r="C155" s="1"/>
    </row>
    <row r="156" spans="2:3" ht="13.2">
      <c r="B156" s="1"/>
      <c r="C156" s="1"/>
    </row>
    <row r="157" spans="2:3" ht="13.2">
      <c r="B157" s="1"/>
      <c r="C157" s="1"/>
    </row>
    <row r="158" spans="2:3" ht="13.2">
      <c r="B158" s="1"/>
      <c r="C158" s="1"/>
    </row>
    <row r="159" spans="2:3" ht="13.2">
      <c r="B159" s="1"/>
      <c r="C159" s="1"/>
    </row>
    <row r="160" spans="2:3" ht="13.2">
      <c r="B160" s="1"/>
      <c r="C160" s="1"/>
    </row>
    <row r="161" spans="2:3" ht="13.2">
      <c r="B161" s="1"/>
      <c r="C161" s="1"/>
    </row>
    <row r="162" spans="2:3" ht="13.2">
      <c r="B162" s="1"/>
      <c r="C162" s="1"/>
    </row>
    <row r="163" spans="2:3" ht="13.2">
      <c r="B163" s="1"/>
      <c r="C163" s="1"/>
    </row>
    <row r="164" spans="2:3" ht="13.2">
      <c r="B164" s="1"/>
      <c r="C164" s="1"/>
    </row>
    <row r="165" spans="2:3" ht="13.2">
      <c r="B165" s="1"/>
      <c r="C165" s="1"/>
    </row>
    <row r="166" spans="2:3" ht="13.2">
      <c r="B166" s="1"/>
      <c r="C166" s="1"/>
    </row>
    <row r="167" spans="2:3" ht="13.2">
      <c r="B167" s="1"/>
      <c r="C167" s="1"/>
    </row>
    <row r="168" spans="2:3" ht="13.2">
      <c r="B168" s="1"/>
      <c r="C168" s="1"/>
    </row>
    <row r="169" spans="2:3" ht="13.2">
      <c r="B169" s="1"/>
      <c r="C169" s="1"/>
    </row>
    <row r="170" spans="2:3" ht="13.2">
      <c r="B170" s="1"/>
      <c r="C170" s="1"/>
    </row>
    <row r="171" spans="2:3" ht="13.2">
      <c r="B171" s="1"/>
      <c r="C171" s="1"/>
    </row>
    <row r="172" spans="2:3" ht="13.2">
      <c r="B172" s="1"/>
      <c r="C172" s="1"/>
    </row>
    <row r="173" spans="2:3" ht="13.2">
      <c r="B173" s="1"/>
      <c r="C173" s="1"/>
    </row>
    <row r="174" spans="2:3" ht="13.2">
      <c r="B174" s="1"/>
      <c r="C174" s="1"/>
    </row>
    <row r="175" spans="2:3" ht="13.2">
      <c r="B175" s="1"/>
      <c r="C175" s="1"/>
    </row>
    <row r="176" spans="2:3" ht="13.2">
      <c r="B176" s="1"/>
      <c r="C176" s="1"/>
    </row>
    <row r="177" spans="2:3" ht="13.2">
      <c r="B177" s="1"/>
      <c r="C177" s="1"/>
    </row>
    <row r="178" spans="2:3" ht="13.2">
      <c r="B178" s="1"/>
      <c r="C178" s="1"/>
    </row>
    <row r="179" spans="2:3" ht="13.2">
      <c r="B179" s="1"/>
      <c r="C179" s="1"/>
    </row>
    <row r="180" spans="2:3" ht="13.2">
      <c r="B180" s="1"/>
      <c r="C180" s="1"/>
    </row>
    <row r="181" spans="2:3" ht="13.2">
      <c r="B181" s="1"/>
      <c r="C181" s="1"/>
    </row>
    <row r="182" spans="2:3" ht="13.2">
      <c r="B182" s="1"/>
      <c r="C182" s="1"/>
    </row>
    <row r="183" spans="2:3" ht="13.2">
      <c r="B183" s="1"/>
      <c r="C183" s="1"/>
    </row>
    <row r="184" spans="2:3" ht="13.2">
      <c r="B184" s="1"/>
      <c r="C184" s="1"/>
    </row>
    <row r="185" spans="2:3" ht="13.2">
      <c r="B185" s="1"/>
      <c r="C185" s="1"/>
    </row>
    <row r="186" spans="2:3" ht="13.2">
      <c r="B186" s="1"/>
      <c r="C186" s="1"/>
    </row>
    <row r="187" spans="2:3" ht="13.2">
      <c r="B187" s="1"/>
      <c r="C187" s="1"/>
    </row>
    <row r="188" spans="2:3" ht="13.2">
      <c r="B188" s="1"/>
      <c r="C188" s="1"/>
    </row>
    <row r="189" spans="2:3" ht="13.2">
      <c r="B189" s="1"/>
      <c r="C189" s="1"/>
    </row>
    <row r="190" spans="2:3" ht="13.2">
      <c r="B190" s="1"/>
      <c r="C190" s="1"/>
    </row>
    <row r="191" spans="2:3" ht="13.2">
      <c r="B191" s="1"/>
      <c r="C191" s="1"/>
    </row>
    <row r="192" spans="2:3" ht="13.2">
      <c r="B192" s="1"/>
      <c r="C192" s="1"/>
    </row>
    <row r="193" spans="2:3" ht="13.2">
      <c r="B193" s="1"/>
      <c r="C193" s="1"/>
    </row>
    <row r="194" spans="2:3" ht="13.2">
      <c r="B194" s="1"/>
      <c r="C194" s="1"/>
    </row>
    <row r="195" spans="2:3" ht="13.2">
      <c r="B195" s="1"/>
      <c r="C195" s="1"/>
    </row>
    <row r="196" spans="2:3" ht="13.2">
      <c r="B196" s="1"/>
      <c r="C196" s="1"/>
    </row>
    <row r="197" spans="2:3" ht="13.2">
      <c r="B197" s="1"/>
      <c r="C197" s="1"/>
    </row>
    <row r="198" spans="2:3" ht="13.2">
      <c r="B198" s="1"/>
      <c r="C198" s="1"/>
    </row>
    <row r="199" spans="2:3" ht="13.2">
      <c r="B199" s="1"/>
      <c r="C199" s="1"/>
    </row>
    <row r="200" spans="2:3" ht="13.2">
      <c r="B200" s="1"/>
      <c r="C200" s="1"/>
    </row>
    <row r="201" spans="2:3" ht="13.2">
      <c r="B201" s="1"/>
      <c r="C201" s="1"/>
    </row>
    <row r="202" spans="2:3" ht="13.2">
      <c r="B202" s="1"/>
      <c r="C202" s="1"/>
    </row>
    <row r="203" spans="2:3" ht="13.2">
      <c r="B203" s="1"/>
      <c r="C203" s="1"/>
    </row>
    <row r="204" spans="2:3" ht="13.2">
      <c r="B204" s="1"/>
      <c r="C204" s="1"/>
    </row>
    <row r="205" spans="2:3" ht="13.2">
      <c r="B205" s="1"/>
      <c r="C205" s="1"/>
    </row>
    <row r="206" spans="2:3" ht="13.2">
      <c r="B206" s="1"/>
      <c r="C206" s="1"/>
    </row>
    <row r="207" spans="2:3" ht="13.2">
      <c r="B207" s="1"/>
      <c r="C207" s="1"/>
    </row>
    <row r="208" spans="2:3" ht="13.2">
      <c r="B208" s="1"/>
      <c r="C208" s="1"/>
    </row>
    <row r="209" spans="2:3" ht="13.2">
      <c r="B209" s="1"/>
      <c r="C209" s="1"/>
    </row>
    <row r="210" spans="2:3" ht="13.2">
      <c r="B210" s="1"/>
      <c r="C210" s="1"/>
    </row>
    <row r="211" spans="2:3" ht="13.2">
      <c r="B211" s="1"/>
      <c r="C211" s="1"/>
    </row>
    <row r="212" spans="2:3" ht="13.2">
      <c r="B212" s="1"/>
      <c r="C212" s="1"/>
    </row>
    <row r="213" spans="2:3" ht="13.2">
      <c r="B213" s="1"/>
      <c r="C213" s="1"/>
    </row>
    <row r="214" spans="2:3" ht="13.2">
      <c r="B214" s="1"/>
      <c r="C214" s="1"/>
    </row>
    <row r="215" spans="2:3" ht="13.2">
      <c r="B215" s="1"/>
      <c r="C215" s="1"/>
    </row>
    <row r="216" spans="2:3" ht="13.2">
      <c r="B216" s="1"/>
      <c r="C216" s="1"/>
    </row>
    <row r="217" spans="2:3" ht="13.2">
      <c r="B217" s="1"/>
      <c r="C217" s="1"/>
    </row>
    <row r="218" spans="2:3" ht="13.2">
      <c r="B218" s="1"/>
      <c r="C218" s="1"/>
    </row>
    <row r="219" spans="2:3" ht="13.2">
      <c r="B219" s="1"/>
      <c r="C219" s="1"/>
    </row>
    <row r="220" spans="2:3" ht="13.2">
      <c r="B220" s="1"/>
      <c r="C220" s="1"/>
    </row>
    <row r="221" spans="2:3" ht="13.2">
      <c r="B221" s="1"/>
      <c r="C221" s="1"/>
    </row>
    <row r="222" spans="2:3" ht="13.2">
      <c r="B222" s="1"/>
      <c r="C222" s="1"/>
    </row>
    <row r="223" spans="2:3" ht="13.2">
      <c r="B223" s="1"/>
      <c r="C223" s="1"/>
    </row>
    <row r="224" spans="2:3" ht="13.2">
      <c r="B224" s="1"/>
      <c r="C224" s="1"/>
    </row>
    <row r="225" spans="2:3" ht="13.2">
      <c r="B225" s="1"/>
      <c r="C225" s="1"/>
    </row>
    <row r="226" spans="2:3" ht="13.2">
      <c r="B226" s="1"/>
      <c r="C226" s="1"/>
    </row>
    <row r="227" spans="2:3" ht="13.2">
      <c r="B227" s="1"/>
      <c r="C227" s="1"/>
    </row>
    <row r="228" spans="2:3" ht="13.2">
      <c r="B228" s="1"/>
      <c r="C228" s="1"/>
    </row>
    <row r="229" spans="2:3" ht="13.2">
      <c r="B229" s="1"/>
      <c r="C229" s="1"/>
    </row>
    <row r="230" spans="2:3" ht="13.2">
      <c r="B230" s="1"/>
      <c r="C230" s="1"/>
    </row>
    <row r="231" spans="2:3" ht="13.2">
      <c r="B231" s="1"/>
      <c r="C231" s="1"/>
    </row>
    <row r="232" spans="2:3" ht="13.2">
      <c r="B232" s="1"/>
      <c r="C232" s="1"/>
    </row>
    <row r="233" spans="2:3" ht="13.2">
      <c r="B233" s="1"/>
      <c r="C233" s="1"/>
    </row>
    <row r="234" spans="2:3" ht="13.2">
      <c r="B234" s="1"/>
      <c r="C234" s="1"/>
    </row>
    <row r="235" spans="2:3" ht="13.2">
      <c r="B235" s="1"/>
      <c r="C235" s="1"/>
    </row>
    <row r="236" spans="2:3" ht="13.2">
      <c r="B236" s="1"/>
      <c r="C236" s="1"/>
    </row>
    <row r="237" spans="2:3" ht="13.2">
      <c r="B237" s="1"/>
      <c r="C237" s="1"/>
    </row>
    <row r="238" spans="2:3" ht="13.2">
      <c r="B238" s="1"/>
      <c r="C238" s="1"/>
    </row>
    <row r="239" spans="2:3" ht="13.2">
      <c r="B239" s="1"/>
      <c r="C239" s="1"/>
    </row>
    <row r="240" spans="2:3" ht="13.2">
      <c r="B240" s="1"/>
      <c r="C240" s="1"/>
    </row>
    <row r="241" spans="2:3" ht="13.2">
      <c r="B241" s="1"/>
      <c r="C241" s="1"/>
    </row>
    <row r="242" spans="2:3" ht="13.2">
      <c r="B242" s="1"/>
      <c r="C242" s="1"/>
    </row>
    <row r="243" spans="2:3" ht="13.2">
      <c r="B243" s="1"/>
      <c r="C243" s="1"/>
    </row>
    <row r="244" spans="2:3" ht="13.2">
      <c r="B244" s="1"/>
      <c r="C244" s="1"/>
    </row>
    <row r="245" spans="2:3" ht="13.2">
      <c r="B245" s="1"/>
      <c r="C245" s="1"/>
    </row>
    <row r="246" spans="2:3" ht="13.2">
      <c r="B246" s="1"/>
      <c r="C246" s="1"/>
    </row>
    <row r="247" spans="2:3" ht="13.2">
      <c r="B247" s="1"/>
      <c r="C247" s="1"/>
    </row>
    <row r="248" spans="2:3" ht="13.2">
      <c r="B248" s="1"/>
      <c r="C248" s="1"/>
    </row>
    <row r="249" spans="2:3" ht="13.2">
      <c r="B249" s="1"/>
      <c r="C249" s="1"/>
    </row>
    <row r="250" spans="2:3" ht="13.2">
      <c r="B250" s="1"/>
      <c r="C250" s="1"/>
    </row>
    <row r="251" spans="2:3" ht="13.2">
      <c r="B251" s="1"/>
      <c r="C251" s="1"/>
    </row>
    <row r="252" spans="2:3" ht="13.2">
      <c r="B252" s="1"/>
      <c r="C252" s="1"/>
    </row>
    <row r="253" spans="2:3" ht="13.2">
      <c r="B253" s="1"/>
      <c r="C253" s="1"/>
    </row>
    <row r="254" spans="2:3" ht="13.2">
      <c r="B254" s="1"/>
      <c r="C254" s="1"/>
    </row>
    <row r="255" spans="2:3" ht="13.2">
      <c r="B255" s="1"/>
      <c r="C255" s="1"/>
    </row>
    <row r="256" spans="2:3" ht="13.2">
      <c r="B256" s="1"/>
      <c r="C256" s="1"/>
    </row>
    <row r="257" spans="2:3" ht="13.2">
      <c r="B257" s="1"/>
      <c r="C257" s="1"/>
    </row>
    <row r="258" spans="2:3" ht="13.2">
      <c r="B258" s="1"/>
      <c r="C258" s="1"/>
    </row>
    <row r="259" spans="2:3" ht="13.2">
      <c r="B259" s="1"/>
      <c r="C259" s="1"/>
    </row>
    <row r="260" spans="2:3" ht="13.2">
      <c r="B260" s="1"/>
      <c r="C260" s="1"/>
    </row>
    <row r="261" spans="2:3" ht="13.2">
      <c r="B261" s="1"/>
      <c r="C261" s="1"/>
    </row>
    <row r="262" spans="2:3" ht="13.2">
      <c r="B262" s="1"/>
      <c r="C262" s="1"/>
    </row>
    <row r="263" spans="2:3" ht="13.2">
      <c r="B263" s="1"/>
      <c r="C263" s="1"/>
    </row>
    <row r="264" spans="2:3" ht="13.2">
      <c r="B264" s="1"/>
      <c r="C264" s="1"/>
    </row>
    <row r="265" spans="2:3" ht="13.2">
      <c r="B265" s="1"/>
      <c r="C265" s="1"/>
    </row>
    <row r="266" spans="2:3" ht="13.2">
      <c r="B266" s="1"/>
      <c r="C266" s="1"/>
    </row>
    <row r="267" spans="2:3" ht="13.2">
      <c r="B267" s="1"/>
      <c r="C267" s="1"/>
    </row>
    <row r="268" spans="2:3" ht="13.2">
      <c r="B268" s="1"/>
      <c r="C268" s="1"/>
    </row>
    <row r="269" spans="2:3" ht="13.2">
      <c r="B269" s="1"/>
      <c r="C269" s="1"/>
    </row>
    <row r="270" spans="2:3" ht="13.2">
      <c r="B270" s="1"/>
      <c r="C270" s="1"/>
    </row>
    <row r="271" spans="2:3" ht="13.2">
      <c r="B271" s="1"/>
      <c r="C271" s="1"/>
    </row>
    <row r="272" spans="2:3" ht="13.2">
      <c r="B272" s="1"/>
      <c r="C272" s="1"/>
    </row>
    <row r="273" spans="2:3" ht="13.2">
      <c r="B273" s="1"/>
      <c r="C273" s="1"/>
    </row>
    <row r="274" spans="2:3" ht="13.2">
      <c r="B274" s="1"/>
      <c r="C274" s="1"/>
    </row>
    <row r="275" spans="2:3" ht="13.2">
      <c r="B275" s="1"/>
      <c r="C275" s="1"/>
    </row>
    <row r="276" spans="2:3" ht="13.2">
      <c r="B276" s="1"/>
      <c r="C276" s="1"/>
    </row>
    <row r="277" spans="2:3" ht="13.2">
      <c r="B277" s="1"/>
      <c r="C277" s="1"/>
    </row>
    <row r="278" spans="2:3" ht="13.2">
      <c r="B278" s="1"/>
      <c r="C278" s="1"/>
    </row>
    <row r="279" spans="2:3" ht="13.2">
      <c r="B279" s="1"/>
      <c r="C279" s="1"/>
    </row>
    <row r="280" spans="2:3" ht="13.2">
      <c r="B280" s="1"/>
      <c r="C280" s="1"/>
    </row>
    <row r="281" spans="2:3" ht="13.2">
      <c r="B281" s="1"/>
      <c r="C281" s="1"/>
    </row>
    <row r="282" spans="2:3" ht="13.2">
      <c r="B282" s="1"/>
      <c r="C282" s="1"/>
    </row>
    <row r="283" spans="2:3" ht="13.2">
      <c r="B283" s="1"/>
      <c r="C283" s="1"/>
    </row>
    <row r="284" spans="2:3" ht="13.2">
      <c r="B284" s="1"/>
      <c r="C284" s="1"/>
    </row>
    <row r="285" spans="2:3" ht="13.2">
      <c r="B285" s="1"/>
      <c r="C285" s="1"/>
    </row>
    <row r="286" spans="2:3" ht="13.2">
      <c r="B286" s="1"/>
      <c r="C286" s="1"/>
    </row>
    <row r="287" spans="2:3" ht="13.2">
      <c r="B287" s="1"/>
      <c r="C287" s="1"/>
    </row>
    <row r="288" spans="2:3" ht="13.2">
      <c r="B288" s="1"/>
      <c r="C288" s="1"/>
    </row>
    <row r="289" spans="2:3" ht="13.2">
      <c r="B289" s="1"/>
      <c r="C289" s="1"/>
    </row>
    <row r="290" spans="2:3" ht="13.2">
      <c r="B290" s="1"/>
      <c r="C290" s="1"/>
    </row>
    <row r="291" spans="2:3" ht="13.2">
      <c r="B291" s="1"/>
      <c r="C291" s="1"/>
    </row>
    <row r="292" spans="2:3" ht="13.2">
      <c r="B292" s="1"/>
      <c r="C292" s="1"/>
    </row>
    <row r="293" spans="2:3" ht="13.2">
      <c r="B293" s="1"/>
      <c r="C293" s="1"/>
    </row>
    <row r="294" spans="2:3" ht="13.2">
      <c r="B294" s="1"/>
      <c r="C294" s="1"/>
    </row>
    <row r="295" spans="2:3" ht="13.2">
      <c r="B295" s="1"/>
      <c r="C295" s="1"/>
    </row>
    <row r="296" spans="2:3" ht="13.2">
      <c r="B296" s="1"/>
      <c r="C296" s="1"/>
    </row>
    <row r="297" spans="2:3" ht="13.2">
      <c r="B297" s="1"/>
      <c r="C297" s="1"/>
    </row>
    <row r="298" spans="2:3" ht="13.2">
      <c r="B298" s="1"/>
      <c r="C298" s="1"/>
    </row>
    <row r="299" spans="2:3" ht="13.2">
      <c r="B299" s="1"/>
      <c r="C299" s="1"/>
    </row>
    <row r="300" spans="2:3" ht="13.2">
      <c r="B300" s="1"/>
      <c r="C300" s="1"/>
    </row>
    <row r="301" spans="2:3" ht="13.2">
      <c r="B301" s="1"/>
      <c r="C301" s="1"/>
    </row>
    <row r="302" spans="2:3" ht="13.2">
      <c r="B302" s="1"/>
      <c r="C302" s="1"/>
    </row>
    <row r="303" spans="2:3" ht="13.2">
      <c r="B303" s="1"/>
      <c r="C303" s="1"/>
    </row>
    <row r="304" spans="2:3" ht="13.2">
      <c r="B304" s="1"/>
      <c r="C304" s="1"/>
    </row>
    <row r="305" spans="2:3" ht="13.2">
      <c r="B305" s="1"/>
      <c r="C305" s="1"/>
    </row>
    <row r="306" spans="2:3" ht="13.2">
      <c r="B306" s="1"/>
      <c r="C306" s="1"/>
    </row>
    <row r="307" spans="2:3" ht="13.2">
      <c r="B307" s="1"/>
      <c r="C307" s="1"/>
    </row>
    <row r="308" spans="2:3" ht="13.2">
      <c r="B308" s="1"/>
      <c r="C308" s="1"/>
    </row>
    <row r="309" spans="2:3" ht="13.2">
      <c r="B309" s="1"/>
      <c r="C309" s="1"/>
    </row>
    <row r="310" spans="2:3" ht="13.2">
      <c r="B310" s="1"/>
      <c r="C310" s="1"/>
    </row>
    <row r="311" spans="2:3" ht="13.2">
      <c r="B311" s="1"/>
      <c r="C311" s="1"/>
    </row>
    <row r="312" spans="2:3" ht="13.2">
      <c r="B312" s="1"/>
      <c r="C312" s="1"/>
    </row>
    <row r="313" spans="2:3" ht="13.2">
      <c r="B313" s="1"/>
      <c r="C313" s="1"/>
    </row>
    <row r="314" spans="2:3" ht="13.2">
      <c r="B314" s="1"/>
      <c r="C314" s="1"/>
    </row>
    <row r="315" spans="2:3" ht="13.2">
      <c r="B315" s="1"/>
      <c r="C315" s="1"/>
    </row>
    <row r="316" spans="2:3" ht="13.2">
      <c r="B316" s="1"/>
      <c r="C316" s="1"/>
    </row>
    <row r="317" spans="2:3" ht="13.2">
      <c r="B317" s="1"/>
      <c r="C317" s="1"/>
    </row>
    <row r="318" spans="2:3" ht="13.2">
      <c r="B318" s="1"/>
      <c r="C318" s="1"/>
    </row>
    <row r="319" spans="2:3" ht="13.2">
      <c r="B319" s="1"/>
      <c r="C319" s="1"/>
    </row>
    <row r="320" spans="2:3" ht="13.2">
      <c r="B320" s="1"/>
      <c r="C320" s="1"/>
    </row>
    <row r="321" spans="2:3" ht="13.2">
      <c r="B321" s="1"/>
      <c r="C321" s="1"/>
    </row>
    <row r="322" spans="2:3" ht="13.2">
      <c r="B322" s="1"/>
      <c r="C322" s="1"/>
    </row>
    <row r="323" spans="2:3" ht="13.2">
      <c r="B323" s="1"/>
      <c r="C323" s="1"/>
    </row>
    <row r="324" spans="2:3" ht="13.2">
      <c r="B324" s="1"/>
      <c r="C324" s="1"/>
    </row>
    <row r="325" spans="2:3" ht="13.2">
      <c r="B325" s="1"/>
      <c r="C325" s="1"/>
    </row>
    <row r="326" spans="2:3" ht="13.2">
      <c r="B326" s="1"/>
      <c r="C326" s="1"/>
    </row>
    <row r="327" spans="2:3" ht="13.2">
      <c r="B327" s="1"/>
      <c r="C327" s="1"/>
    </row>
    <row r="328" spans="2:3" ht="13.2">
      <c r="B328" s="1"/>
      <c r="C328" s="1"/>
    </row>
    <row r="329" spans="2:3" ht="13.2">
      <c r="B329" s="1"/>
      <c r="C329" s="1"/>
    </row>
    <row r="330" spans="2:3" ht="13.2">
      <c r="B330" s="1"/>
      <c r="C330" s="1"/>
    </row>
    <row r="331" spans="2:3" ht="13.2">
      <c r="B331" s="1"/>
      <c r="C331" s="1"/>
    </row>
    <row r="332" spans="2:3" ht="13.2">
      <c r="B332" s="1"/>
      <c r="C332" s="1"/>
    </row>
    <row r="333" spans="2:3" ht="13.2">
      <c r="B333" s="1"/>
      <c r="C333" s="1"/>
    </row>
    <row r="334" spans="2:3" ht="13.2">
      <c r="B334" s="1"/>
      <c r="C334" s="1"/>
    </row>
    <row r="335" spans="2:3" ht="13.2">
      <c r="B335" s="1"/>
      <c r="C335" s="1"/>
    </row>
    <row r="336" spans="2:3" ht="13.2">
      <c r="B336" s="1"/>
      <c r="C336" s="1"/>
    </row>
    <row r="337" spans="2:3" ht="13.2">
      <c r="B337" s="1"/>
      <c r="C337" s="1"/>
    </row>
    <row r="338" spans="2:3" ht="13.2">
      <c r="B338" s="1"/>
      <c r="C338" s="1"/>
    </row>
    <row r="339" spans="2:3" ht="13.2">
      <c r="B339" s="1"/>
      <c r="C339" s="1"/>
    </row>
    <row r="340" spans="2:3" ht="13.2">
      <c r="B340" s="1"/>
      <c r="C340" s="1"/>
    </row>
    <row r="341" spans="2:3" ht="13.2">
      <c r="B341" s="1"/>
      <c r="C341" s="1"/>
    </row>
    <row r="342" spans="2:3" ht="13.2">
      <c r="B342" s="1"/>
      <c r="C342" s="1"/>
    </row>
    <row r="343" spans="2:3" ht="13.2">
      <c r="B343" s="1"/>
      <c r="C343" s="1"/>
    </row>
    <row r="344" spans="2:3" ht="13.2">
      <c r="B344" s="1"/>
      <c r="C344" s="1"/>
    </row>
    <row r="345" spans="2:3" ht="13.2">
      <c r="B345" s="1"/>
      <c r="C345" s="1"/>
    </row>
    <row r="346" spans="2:3" ht="13.2">
      <c r="B346" s="1"/>
      <c r="C346" s="1"/>
    </row>
    <row r="347" spans="2:3" ht="13.2">
      <c r="B347" s="1"/>
      <c r="C347" s="1"/>
    </row>
    <row r="348" spans="2:3" ht="13.2">
      <c r="B348" s="1"/>
      <c r="C348" s="1"/>
    </row>
    <row r="349" spans="2:3" ht="13.2">
      <c r="B349" s="1"/>
      <c r="C349" s="1"/>
    </row>
    <row r="350" spans="2:3" ht="13.2">
      <c r="B350" s="1"/>
      <c r="C350" s="1"/>
    </row>
    <row r="351" spans="2:3" ht="13.2">
      <c r="B351" s="1"/>
      <c r="C351" s="1"/>
    </row>
    <row r="352" spans="2:3" ht="13.2">
      <c r="B352" s="1"/>
      <c r="C352" s="1"/>
    </row>
    <row r="353" spans="2:3" ht="13.2">
      <c r="B353" s="1"/>
      <c r="C353" s="1"/>
    </row>
    <row r="354" spans="2:3" ht="13.2">
      <c r="B354" s="1"/>
      <c r="C354" s="1"/>
    </row>
    <row r="355" spans="2:3" ht="13.2">
      <c r="B355" s="1"/>
      <c r="C355" s="1"/>
    </row>
    <row r="356" spans="2:3" ht="13.2">
      <c r="B356" s="1"/>
      <c r="C356" s="1"/>
    </row>
    <row r="357" spans="2:3" ht="13.2">
      <c r="B357" s="1"/>
      <c r="C357" s="1"/>
    </row>
    <row r="358" spans="2:3" ht="13.2">
      <c r="B358" s="1"/>
      <c r="C358" s="1"/>
    </row>
    <row r="359" spans="2:3" ht="13.2">
      <c r="B359" s="1"/>
      <c r="C359" s="1"/>
    </row>
    <row r="360" spans="2:3" ht="13.2">
      <c r="B360" s="1"/>
      <c r="C360" s="1"/>
    </row>
    <row r="361" spans="2:3" ht="13.2">
      <c r="B361" s="1"/>
      <c r="C361" s="1"/>
    </row>
    <row r="362" spans="2:3" ht="13.2">
      <c r="B362" s="1"/>
      <c r="C362" s="1"/>
    </row>
    <row r="363" spans="2:3" ht="13.2">
      <c r="B363" s="1"/>
      <c r="C363" s="1"/>
    </row>
    <row r="364" spans="2:3" ht="13.2">
      <c r="B364" s="1"/>
      <c r="C364" s="1"/>
    </row>
    <row r="365" spans="2:3" ht="13.2">
      <c r="B365" s="1"/>
      <c r="C365" s="1"/>
    </row>
    <row r="366" spans="2:3" ht="13.2">
      <c r="B366" s="1"/>
      <c r="C366" s="1"/>
    </row>
    <row r="367" spans="2:3" ht="13.2">
      <c r="B367" s="1"/>
      <c r="C367" s="1"/>
    </row>
    <row r="368" spans="2:3" ht="13.2">
      <c r="B368" s="1"/>
      <c r="C368" s="1"/>
    </row>
    <row r="369" spans="2:3" ht="13.2">
      <c r="B369" s="1"/>
      <c r="C369" s="1"/>
    </row>
    <row r="370" spans="2:3" ht="13.2">
      <c r="B370" s="1"/>
      <c r="C370" s="1"/>
    </row>
    <row r="371" spans="2:3" ht="13.2">
      <c r="B371" s="1"/>
      <c r="C371" s="1"/>
    </row>
    <row r="372" spans="2:3" ht="13.2">
      <c r="B372" s="1"/>
      <c r="C372" s="1"/>
    </row>
    <row r="373" spans="2:3" ht="13.2">
      <c r="B373" s="1"/>
      <c r="C373" s="1"/>
    </row>
    <row r="374" spans="2:3" ht="13.2">
      <c r="B374" s="1"/>
      <c r="C374" s="1"/>
    </row>
    <row r="375" spans="2:3" ht="13.2">
      <c r="B375" s="1"/>
      <c r="C375" s="1"/>
    </row>
    <row r="376" spans="2:3" ht="13.2">
      <c r="B376" s="1"/>
      <c r="C376" s="1"/>
    </row>
    <row r="377" spans="2:3" ht="13.2">
      <c r="B377" s="1"/>
      <c r="C377" s="1"/>
    </row>
    <row r="378" spans="2:3" ht="13.2">
      <c r="B378" s="1"/>
      <c r="C378" s="1"/>
    </row>
    <row r="379" spans="2:3" ht="13.2">
      <c r="B379" s="1"/>
      <c r="C379" s="1"/>
    </row>
    <row r="380" spans="2:3" ht="13.2">
      <c r="B380" s="1"/>
      <c r="C380" s="1"/>
    </row>
    <row r="381" spans="2:3" ht="13.2">
      <c r="B381" s="1"/>
      <c r="C381" s="1"/>
    </row>
    <row r="382" spans="2:3" ht="13.2">
      <c r="B382" s="1"/>
      <c r="C382" s="1"/>
    </row>
    <row r="383" spans="2:3" ht="13.2">
      <c r="B383" s="1"/>
      <c r="C383" s="1"/>
    </row>
    <row r="384" spans="2:3" ht="13.2">
      <c r="B384" s="1"/>
      <c r="C384" s="1"/>
    </row>
    <row r="385" spans="2:3" ht="13.2">
      <c r="B385" s="1"/>
      <c r="C385" s="1"/>
    </row>
    <row r="386" spans="2:3" ht="13.2">
      <c r="B386" s="1"/>
      <c r="C386" s="1"/>
    </row>
    <row r="387" spans="2:3" ht="13.2">
      <c r="B387" s="1"/>
      <c r="C387" s="1"/>
    </row>
    <row r="388" spans="2:3" ht="13.2">
      <c r="B388" s="1"/>
      <c r="C388" s="1"/>
    </row>
    <row r="389" spans="2:3" ht="13.2">
      <c r="B389" s="1"/>
      <c r="C389" s="1"/>
    </row>
    <row r="390" spans="2:3" ht="13.2">
      <c r="B390" s="1"/>
      <c r="C390" s="1"/>
    </row>
    <row r="391" spans="2:3" ht="13.2">
      <c r="B391" s="1"/>
      <c r="C391" s="1"/>
    </row>
    <row r="392" spans="2:3" ht="13.2">
      <c r="B392" s="1"/>
      <c r="C392" s="1"/>
    </row>
    <row r="393" spans="2:3" ht="13.2">
      <c r="B393" s="1"/>
      <c r="C393" s="1"/>
    </row>
    <row r="394" spans="2:3" ht="13.2">
      <c r="B394" s="1"/>
      <c r="C394" s="1"/>
    </row>
    <row r="395" spans="2:3" ht="13.2">
      <c r="B395" s="1"/>
      <c r="C395" s="1"/>
    </row>
    <row r="396" spans="2:3" ht="13.2">
      <c r="B396" s="1"/>
      <c r="C396" s="1"/>
    </row>
    <row r="397" spans="2:3" ht="13.2">
      <c r="B397" s="1"/>
      <c r="C397" s="1"/>
    </row>
    <row r="398" spans="2:3" ht="13.2">
      <c r="B398" s="1"/>
      <c r="C398" s="1"/>
    </row>
    <row r="399" spans="2:3" ht="13.2">
      <c r="B399" s="1"/>
      <c r="C399" s="1"/>
    </row>
    <row r="400" spans="2:3" ht="13.2">
      <c r="B400" s="1"/>
      <c r="C400" s="1"/>
    </row>
    <row r="401" spans="2:3" ht="13.2">
      <c r="B401" s="1"/>
      <c r="C401" s="1"/>
    </row>
    <row r="402" spans="2:3" ht="13.2">
      <c r="B402" s="1"/>
      <c r="C402" s="1"/>
    </row>
    <row r="403" spans="2:3" ht="13.2">
      <c r="B403" s="1"/>
      <c r="C403" s="1"/>
    </row>
    <row r="404" spans="2:3" ht="13.2">
      <c r="B404" s="1"/>
      <c r="C404" s="1"/>
    </row>
    <row r="405" spans="2:3" ht="13.2">
      <c r="B405" s="1"/>
      <c r="C405" s="1"/>
    </row>
    <row r="406" spans="2:3" ht="13.2">
      <c r="B406" s="1"/>
      <c r="C406" s="1"/>
    </row>
    <row r="407" spans="2:3" ht="13.2">
      <c r="B407" s="1"/>
      <c r="C407" s="1"/>
    </row>
    <row r="408" spans="2:3" ht="13.2">
      <c r="B408" s="1"/>
      <c r="C408" s="1"/>
    </row>
    <row r="409" spans="2:3" ht="13.2">
      <c r="B409" s="1"/>
      <c r="C409" s="1"/>
    </row>
    <row r="410" spans="2:3" ht="13.2">
      <c r="B410" s="1"/>
      <c r="C410" s="1"/>
    </row>
    <row r="411" spans="2:3" ht="13.2">
      <c r="B411" s="1"/>
      <c r="C411" s="1"/>
    </row>
    <row r="412" spans="2:3" ht="13.2">
      <c r="B412" s="1"/>
      <c r="C412" s="1"/>
    </row>
    <row r="413" spans="2:3" ht="13.2">
      <c r="B413" s="1"/>
      <c r="C413" s="1"/>
    </row>
    <row r="414" spans="2:3" ht="13.2">
      <c r="B414" s="1"/>
      <c r="C414" s="1"/>
    </row>
    <row r="415" spans="2:3" ht="13.2">
      <c r="B415" s="1"/>
      <c r="C415" s="1"/>
    </row>
    <row r="416" spans="2:3" ht="13.2">
      <c r="B416" s="1"/>
      <c r="C416" s="1"/>
    </row>
    <row r="417" spans="2:3" ht="13.2">
      <c r="B417" s="1"/>
      <c r="C417" s="1"/>
    </row>
    <row r="418" spans="2:3" ht="13.2">
      <c r="B418" s="1"/>
      <c r="C418" s="1"/>
    </row>
    <row r="419" spans="2:3" ht="13.2">
      <c r="B419" s="1"/>
      <c r="C419" s="1"/>
    </row>
    <row r="420" spans="2:3" ht="13.2">
      <c r="B420" s="1"/>
      <c r="C420" s="1"/>
    </row>
    <row r="421" spans="2:3" ht="13.2">
      <c r="B421" s="1"/>
      <c r="C421" s="1"/>
    </row>
    <row r="422" spans="2:3" ht="13.2">
      <c r="B422" s="1"/>
      <c r="C422" s="1"/>
    </row>
    <row r="423" spans="2:3" ht="13.2">
      <c r="B423" s="1"/>
      <c r="C423" s="1"/>
    </row>
    <row r="424" spans="2:3" ht="13.2">
      <c r="B424" s="1"/>
      <c r="C424" s="1"/>
    </row>
    <row r="425" spans="2:3" ht="13.2">
      <c r="B425" s="1"/>
      <c r="C425" s="1"/>
    </row>
    <row r="426" spans="2:3" ht="13.2">
      <c r="B426" s="1"/>
      <c r="C426" s="1"/>
    </row>
    <row r="427" spans="2:3" ht="13.2">
      <c r="B427" s="1"/>
      <c r="C427" s="1"/>
    </row>
    <row r="428" spans="2:3" ht="13.2">
      <c r="B428" s="1"/>
      <c r="C428" s="1"/>
    </row>
    <row r="429" spans="2:3" ht="13.2">
      <c r="B429" s="1"/>
      <c r="C429" s="1"/>
    </row>
    <row r="430" spans="2:3" ht="13.2">
      <c r="B430" s="1"/>
      <c r="C430" s="1"/>
    </row>
    <row r="431" spans="2:3" ht="13.2">
      <c r="B431" s="1"/>
      <c r="C431" s="1"/>
    </row>
    <row r="432" spans="2:3" ht="13.2">
      <c r="B432" s="1"/>
      <c r="C432" s="1"/>
    </row>
    <row r="433" spans="2:3" ht="13.2">
      <c r="B433" s="1"/>
      <c r="C433" s="1"/>
    </row>
    <row r="434" spans="2:3" ht="13.2">
      <c r="B434" s="1"/>
      <c r="C434" s="1"/>
    </row>
    <row r="435" spans="2:3" ht="13.2">
      <c r="B435" s="1"/>
      <c r="C435" s="1"/>
    </row>
    <row r="436" spans="2:3" ht="13.2">
      <c r="B436" s="1"/>
      <c r="C436" s="1"/>
    </row>
    <row r="437" spans="2:3" ht="13.2">
      <c r="B437" s="1"/>
      <c r="C437" s="1"/>
    </row>
    <row r="438" spans="2:3" ht="13.2">
      <c r="B438" s="1"/>
      <c r="C438" s="1"/>
    </row>
    <row r="439" spans="2:3" ht="13.2">
      <c r="B439" s="1"/>
      <c r="C439" s="1"/>
    </row>
    <row r="440" spans="2:3" ht="13.2">
      <c r="B440" s="1"/>
      <c r="C440" s="1"/>
    </row>
    <row r="441" spans="2:3" ht="13.2">
      <c r="B441" s="1"/>
      <c r="C441" s="1"/>
    </row>
    <row r="442" spans="2:3" ht="13.2">
      <c r="B442" s="1"/>
      <c r="C442" s="1"/>
    </row>
    <row r="443" spans="2:3" ht="13.2">
      <c r="B443" s="1"/>
      <c r="C443" s="1"/>
    </row>
    <row r="444" spans="2:3" ht="13.2">
      <c r="B444" s="1"/>
      <c r="C444" s="1"/>
    </row>
    <row r="445" spans="2:3" ht="13.2">
      <c r="B445" s="1"/>
      <c r="C445" s="1"/>
    </row>
    <row r="446" spans="2:3" ht="13.2">
      <c r="B446" s="1"/>
      <c r="C446" s="1"/>
    </row>
    <row r="447" spans="2:3" ht="13.2">
      <c r="B447" s="1"/>
      <c r="C447" s="1"/>
    </row>
    <row r="448" spans="2:3" ht="13.2">
      <c r="B448" s="1"/>
      <c r="C448" s="1"/>
    </row>
    <row r="449" spans="2:3" ht="13.2">
      <c r="B449" s="1"/>
      <c r="C449" s="1"/>
    </row>
    <row r="450" spans="2:3" ht="13.2">
      <c r="B450" s="1"/>
      <c r="C450" s="1"/>
    </row>
    <row r="451" spans="2:3" ht="13.2">
      <c r="B451" s="1"/>
      <c r="C451" s="1"/>
    </row>
    <row r="452" spans="2:3" ht="13.2">
      <c r="B452" s="1"/>
      <c r="C452" s="1"/>
    </row>
    <row r="453" spans="2:3" ht="13.2">
      <c r="B453" s="1"/>
      <c r="C453" s="1"/>
    </row>
    <row r="454" spans="2:3" ht="13.2">
      <c r="B454" s="1"/>
      <c r="C454" s="1"/>
    </row>
    <row r="455" spans="2:3" ht="13.2">
      <c r="B455" s="1"/>
      <c r="C455" s="1"/>
    </row>
    <row r="456" spans="2:3" ht="13.2">
      <c r="B456" s="1"/>
      <c r="C456" s="1"/>
    </row>
    <row r="457" spans="2:3" ht="13.2">
      <c r="B457" s="1"/>
      <c r="C457" s="1"/>
    </row>
    <row r="458" spans="2:3" ht="13.2">
      <c r="B458" s="1"/>
      <c r="C458" s="1"/>
    </row>
    <row r="459" spans="2:3" ht="13.2">
      <c r="B459" s="1"/>
      <c r="C459" s="1"/>
    </row>
    <row r="460" spans="2:3" ht="13.2">
      <c r="B460" s="1"/>
      <c r="C460" s="1"/>
    </row>
    <row r="461" spans="2:3" ht="13.2">
      <c r="B461" s="1"/>
      <c r="C461" s="1"/>
    </row>
    <row r="462" spans="2:3" ht="13.2">
      <c r="B462" s="1"/>
      <c r="C462" s="1"/>
    </row>
    <row r="463" spans="2:3" ht="13.2">
      <c r="B463" s="1"/>
      <c r="C463" s="1"/>
    </row>
    <row r="464" spans="2:3" ht="13.2">
      <c r="B464" s="1"/>
      <c r="C464" s="1"/>
    </row>
    <row r="465" spans="2:3" ht="13.2">
      <c r="B465" s="1"/>
      <c r="C465" s="1"/>
    </row>
    <row r="466" spans="2:3" ht="13.2">
      <c r="B466" s="1"/>
      <c r="C466" s="1"/>
    </row>
    <row r="467" spans="2:3" ht="13.2">
      <c r="B467" s="1"/>
      <c r="C467" s="1"/>
    </row>
    <row r="468" spans="2:3" ht="13.2">
      <c r="B468" s="1"/>
      <c r="C468" s="1"/>
    </row>
    <row r="469" spans="2:3" ht="13.2">
      <c r="B469" s="1"/>
      <c r="C469" s="1"/>
    </row>
    <row r="470" spans="2:3" ht="13.2">
      <c r="B470" s="1"/>
      <c r="C470" s="1"/>
    </row>
    <row r="471" spans="2:3" ht="13.2">
      <c r="B471" s="1"/>
      <c r="C471" s="1"/>
    </row>
    <row r="472" spans="2:3" ht="13.2">
      <c r="B472" s="1"/>
      <c r="C472" s="1"/>
    </row>
    <row r="473" spans="2:3" ht="13.2">
      <c r="B473" s="1"/>
      <c r="C473" s="1"/>
    </row>
    <row r="474" spans="2:3" ht="13.2">
      <c r="B474" s="1"/>
      <c r="C474" s="1"/>
    </row>
    <row r="475" spans="2:3" ht="13.2">
      <c r="B475" s="1"/>
      <c r="C475" s="1"/>
    </row>
    <row r="476" spans="2:3" ht="13.2">
      <c r="B476" s="1"/>
      <c r="C476" s="1"/>
    </row>
    <row r="477" spans="2:3" ht="13.2">
      <c r="B477" s="1"/>
      <c r="C477" s="1"/>
    </row>
    <row r="478" spans="2:3" ht="13.2">
      <c r="B478" s="1"/>
      <c r="C478" s="1"/>
    </row>
    <row r="479" spans="2:3" ht="13.2">
      <c r="B479" s="1"/>
      <c r="C479" s="1"/>
    </row>
    <row r="480" spans="2:3" ht="13.2">
      <c r="B480" s="1"/>
      <c r="C480" s="1"/>
    </row>
    <row r="481" spans="2:3" ht="13.2">
      <c r="B481" s="1"/>
      <c r="C481" s="1"/>
    </row>
    <row r="482" spans="2:3" ht="13.2">
      <c r="B482" s="1"/>
      <c r="C482" s="1"/>
    </row>
    <row r="483" spans="2:3" ht="13.2">
      <c r="B483" s="1"/>
      <c r="C483" s="1"/>
    </row>
    <row r="484" spans="2:3" ht="13.2">
      <c r="B484" s="1"/>
      <c r="C484" s="1"/>
    </row>
    <row r="485" spans="2:3" ht="13.2">
      <c r="B485" s="1"/>
      <c r="C485" s="1"/>
    </row>
    <row r="486" spans="2:3" ht="13.2">
      <c r="B486" s="1"/>
      <c r="C486" s="1"/>
    </row>
    <row r="487" spans="2:3" ht="13.2">
      <c r="B487" s="1"/>
      <c r="C487" s="1"/>
    </row>
    <row r="488" spans="2:3" ht="13.2">
      <c r="B488" s="1"/>
      <c r="C488" s="1"/>
    </row>
    <row r="489" spans="2:3" ht="13.2">
      <c r="B489" s="1"/>
      <c r="C489" s="1"/>
    </row>
    <row r="490" spans="2:3" ht="13.2">
      <c r="B490" s="1"/>
      <c r="C490" s="1"/>
    </row>
    <row r="491" spans="2:3" ht="13.2">
      <c r="B491" s="1"/>
      <c r="C491" s="1"/>
    </row>
    <row r="492" spans="2:3" ht="13.2">
      <c r="B492" s="1"/>
      <c r="C492" s="1"/>
    </row>
    <row r="493" spans="2:3" ht="13.2">
      <c r="B493" s="1"/>
      <c r="C493" s="1"/>
    </row>
    <row r="494" spans="2:3" ht="13.2">
      <c r="B494" s="1"/>
      <c r="C494" s="1"/>
    </row>
    <row r="495" spans="2:3" ht="13.2">
      <c r="B495" s="1"/>
      <c r="C495" s="1"/>
    </row>
    <row r="496" spans="2:3" ht="13.2">
      <c r="B496" s="1"/>
      <c r="C496" s="1"/>
    </row>
    <row r="497" spans="2:3" ht="13.2">
      <c r="B497" s="1"/>
      <c r="C497" s="1"/>
    </row>
    <row r="498" spans="2:3" ht="13.2">
      <c r="B498" s="1"/>
      <c r="C498" s="1"/>
    </row>
    <row r="499" spans="2:3" ht="13.2">
      <c r="B499" s="1"/>
      <c r="C499" s="1"/>
    </row>
    <row r="500" spans="2:3" ht="13.2">
      <c r="B500" s="1"/>
      <c r="C500" s="1"/>
    </row>
    <row r="501" spans="2:3" ht="13.2">
      <c r="B501" s="1"/>
      <c r="C501" s="1"/>
    </row>
    <row r="502" spans="2:3" ht="13.2">
      <c r="B502" s="1"/>
      <c r="C502" s="1"/>
    </row>
    <row r="503" spans="2:3" ht="13.2">
      <c r="B503" s="1"/>
      <c r="C503" s="1"/>
    </row>
    <row r="504" spans="2:3" ht="13.2">
      <c r="B504" s="1"/>
      <c r="C504" s="1"/>
    </row>
    <row r="505" spans="2:3" ht="13.2">
      <c r="B505" s="1"/>
      <c r="C505" s="1"/>
    </row>
    <row r="506" spans="2:3" ht="13.2">
      <c r="B506" s="1"/>
      <c r="C506" s="1"/>
    </row>
    <row r="507" spans="2:3" ht="13.2">
      <c r="B507" s="1"/>
      <c r="C507" s="1"/>
    </row>
    <row r="508" spans="2:3" ht="13.2">
      <c r="B508" s="1"/>
      <c r="C508" s="1"/>
    </row>
    <row r="509" spans="2:3" ht="13.2">
      <c r="B509" s="1"/>
      <c r="C509" s="1"/>
    </row>
    <row r="510" spans="2:3" ht="13.2">
      <c r="B510" s="1"/>
      <c r="C510" s="1"/>
    </row>
    <row r="511" spans="2:3" ht="13.2">
      <c r="B511" s="1"/>
      <c r="C511" s="1"/>
    </row>
    <row r="512" spans="2:3" ht="13.2">
      <c r="B512" s="1"/>
      <c r="C512" s="1"/>
    </row>
    <row r="513" spans="2:3" ht="13.2">
      <c r="B513" s="1"/>
      <c r="C513" s="1"/>
    </row>
    <row r="514" spans="2:3" ht="13.2">
      <c r="B514" s="1"/>
      <c r="C514" s="1"/>
    </row>
    <row r="515" spans="2:3" ht="13.2">
      <c r="B515" s="1"/>
      <c r="C515" s="1"/>
    </row>
    <row r="516" spans="2:3" ht="13.2">
      <c r="B516" s="1"/>
      <c r="C516" s="1"/>
    </row>
    <row r="517" spans="2:3" ht="13.2">
      <c r="B517" s="1"/>
      <c r="C517" s="1"/>
    </row>
    <row r="518" spans="2:3" ht="13.2">
      <c r="B518" s="1"/>
      <c r="C518" s="1"/>
    </row>
    <row r="519" spans="2:3" ht="13.2">
      <c r="B519" s="1"/>
      <c r="C519" s="1"/>
    </row>
    <row r="520" spans="2:3" ht="13.2">
      <c r="B520" s="1"/>
      <c r="C520" s="1"/>
    </row>
    <row r="521" spans="2:3" ht="13.2">
      <c r="B521" s="1"/>
      <c r="C521" s="1"/>
    </row>
    <row r="522" spans="2:3" ht="13.2">
      <c r="B522" s="1"/>
      <c r="C522" s="1"/>
    </row>
    <row r="523" spans="2:3" ht="13.2">
      <c r="B523" s="1"/>
      <c r="C523" s="1"/>
    </row>
    <row r="524" spans="2:3" ht="13.2">
      <c r="B524" s="1"/>
      <c r="C524" s="1"/>
    </row>
    <row r="525" spans="2:3" ht="13.2">
      <c r="B525" s="1"/>
      <c r="C525" s="1"/>
    </row>
    <row r="526" spans="2:3" ht="13.2">
      <c r="B526" s="1"/>
      <c r="C526" s="1"/>
    </row>
    <row r="527" spans="2:3" ht="13.2">
      <c r="B527" s="1"/>
      <c r="C527" s="1"/>
    </row>
    <row r="528" spans="2:3" ht="13.2">
      <c r="B528" s="1"/>
      <c r="C528" s="1"/>
    </row>
    <row r="529" spans="2:3" ht="13.2">
      <c r="B529" s="1"/>
      <c r="C529" s="1"/>
    </row>
    <row r="530" spans="2:3" ht="13.2">
      <c r="B530" s="1"/>
      <c r="C530" s="1"/>
    </row>
    <row r="531" spans="2:3" ht="13.2">
      <c r="B531" s="1"/>
      <c r="C531" s="1"/>
    </row>
    <row r="532" spans="2:3" ht="13.2">
      <c r="B532" s="1"/>
      <c r="C532" s="1"/>
    </row>
    <row r="533" spans="2:3" ht="13.2">
      <c r="B533" s="1"/>
      <c r="C533" s="1"/>
    </row>
    <row r="534" spans="2:3" ht="13.2">
      <c r="B534" s="1"/>
      <c r="C534" s="1"/>
    </row>
    <row r="535" spans="2:3" ht="13.2">
      <c r="B535" s="1"/>
      <c r="C535" s="1"/>
    </row>
    <row r="536" spans="2:3" ht="13.2">
      <c r="B536" s="1"/>
      <c r="C536" s="1"/>
    </row>
    <row r="537" spans="2:3" ht="13.2">
      <c r="B537" s="1"/>
      <c r="C537" s="1"/>
    </row>
    <row r="538" spans="2:3" ht="13.2">
      <c r="B538" s="1"/>
      <c r="C538" s="1"/>
    </row>
    <row r="539" spans="2:3" ht="13.2">
      <c r="B539" s="1"/>
      <c r="C539" s="1"/>
    </row>
    <row r="540" spans="2:3" ht="13.2">
      <c r="B540" s="1"/>
      <c r="C540" s="1"/>
    </row>
    <row r="541" spans="2:3" ht="13.2">
      <c r="B541" s="1"/>
      <c r="C541" s="1"/>
    </row>
    <row r="542" spans="2:3" ht="13.2">
      <c r="B542" s="1"/>
      <c r="C542" s="1"/>
    </row>
    <row r="543" spans="2:3" ht="13.2">
      <c r="B543" s="1"/>
      <c r="C543" s="1"/>
    </row>
    <row r="544" spans="2:3" ht="13.2">
      <c r="B544" s="1"/>
      <c r="C544" s="1"/>
    </row>
    <row r="545" spans="2:3" ht="13.2">
      <c r="B545" s="1"/>
      <c r="C545" s="1"/>
    </row>
    <row r="546" spans="2:3" ht="13.2">
      <c r="B546" s="1"/>
      <c r="C546" s="1"/>
    </row>
    <row r="547" spans="2:3" ht="13.2">
      <c r="B547" s="1"/>
      <c r="C547" s="1"/>
    </row>
    <row r="548" spans="2:3" ht="13.2">
      <c r="B548" s="1"/>
      <c r="C548" s="1"/>
    </row>
    <row r="549" spans="2:3" ht="13.2">
      <c r="B549" s="1"/>
      <c r="C549" s="1"/>
    </row>
    <row r="550" spans="2:3" ht="13.2">
      <c r="B550" s="1"/>
      <c r="C550" s="1"/>
    </row>
    <row r="551" spans="2:3" ht="13.2">
      <c r="B551" s="1"/>
      <c r="C551" s="1"/>
    </row>
    <row r="552" spans="2:3" ht="13.2">
      <c r="B552" s="1"/>
      <c r="C552" s="1"/>
    </row>
    <row r="553" spans="2:3" ht="13.2">
      <c r="B553" s="1"/>
      <c r="C553" s="1"/>
    </row>
    <row r="554" spans="2:3" ht="13.2">
      <c r="B554" s="1"/>
      <c r="C554" s="1"/>
    </row>
    <row r="555" spans="2:3" ht="13.2">
      <c r="B555" s="1"/>
      <c r="C555" s="1"/>
    </row>
    <row r="556" spans="2:3" ht="13.2">
      <c r="B556" s="1"/>
      <c r="C556" s="1"/>
    </row>
    <row r="557" spans="2:3" ht="13.2">
      <c r="B557" s="1"/>
      <c r="C557" s="1"/>
    </row>
    <row r="558" spans="2:3" ht="13.2">
      <c r="B558" s="1"/>
      <c r="C558" s="1"/>
    </row>
    <row r="559" spans="2:3" ht="13.2">
      <c r="B559" s="1"/>
      <c r="C559" s="1"/>
    </row>
    <row r="560" spans="2:3" ht="13.2">
      <c r="B560" s="1"/>
      <c r="C560" s="1"/>
    </row>
    <row r="561" spans="2:3" ht="13.2">
      <c r="B561" s="1"/>
      <c r="C561" s="1"/>
    </row>
    <row r="562" spans="2:3" ht="13.2">
      <c r="B562" s="1"/>
      <c r="C562" s="1"/>
    </row>
    <row r="563" spans="2:3" ht="13.2">
      <c r="B563" s="1"/>
      <c r="C563" s="1"/>
    </row>
    <row r="564" spans="2:3" ht="13.2">
      <c r="B564" s="1"/>
      <c r="C564" s="1"/>
    </row>
    <row r="565" spans="2:3" ht="13.2">
      <c r="B565" s="1"/>
      <c r="C565" s="1"/>
    </row>
    <row r="566" spans="2:3" ht="13.2">
      <c r="B566" s="1"/>
      <c r="C566" s="1"/>
    </row>
    <row r="567" spans="2:3" ht="13.2">
      <c r="B567" s="1"/>
      <c r="C567" s="1"/>
    </row>
    <row r="568" spans="2:3" ht="13.2">
      <c r="B568" s="1"/>
      <c r="C568" s="1"/>
    </row>
    <row r="569" spans="2:3" ht="13.2">
      <c r="B569" s="1"/>
      <c r="C569" s="1"/>
    </row>
    <row r="570" spans="2:3" ht="13.2">
      <c r="B570" s="1"/>
      <c r="C570" s="1"/>
    </row>
    <row r="571" spans="2:3" ht="13.2">
      <c r="B571" s="1"/>
      <c r="C571" s="1"/>
    </row>
    <row r="572" spans="2:3" ht="13.2">
      <c r="B572" s="1"/>
      <c r="C572" s="1"/>
    </row>
    <row r="573" spans="2:3" ht="13.2">
      <c r="B573" s="1"/>
      <c r="C573" s="1"/>
    </row>
    <row r="574" spans="2:3" ht="13.2">
      <c r="B574" s="1"/>
      <c r="C574" s="1"/>
    </row>
    <row r="575" spans="2:3" ht="13.2">
      <c r="B575" s="1"/>
      <c r="C575" s="1"/>
    </row>
    <row r="576" spans="2:3" ht="13.2">
      <c r="B576" s="1"/>
      <c r="C576" s="1"/>
    </row>
    <row r="577" spans="2:3" ht="13.2">
      <c r="B577" s="1"/>
      <c r="C577" s="1"/>
    </row>
    <row r="578" spans="2:3" ht="13.2">
      <c r="B578" s="1"/>
      <c r="C578" s="1"/>
    </row>
    <row r="579" spans="2:3" ht="13.2">
      <c r="B579" s="1"/>
      <c r="C579" s="1"/>
    </row>
    <row r="580" spans="2:3" ht="13.2">
      <c r="B580" s="1"/>
      <c r="C580" s="1"/>
    </row>
    <row r="581" spans="2:3" ht="13.2">
      <c r="B581" s="1"/>
      <c r="C581" s="1"/>
    </row>
    <row r="582" spans="2:3" ht="13.2">
      <c r="B582" s="1"/>
      <c r="C582" s="1"/>
    </row>
    <row r="583" spans="2:3" ht="13.2">
      <c r="B583" s="1"/>
      <c r="C583" s="1"/>
    </row>
    <row r="584" spans="2:3" ht="13.2">
      <c r="B584" s="1"/>
      <c r="C584" s="1"/>
    </row>
    <row r="585" spans="2:3" ht="13.2">
      <c r="B585" s="1"/>
      <c r="C585" s="1"/>
    </row>
    <row r="586" spans="2:3" ht="13.2">
      <c r="B586" s="1"/>
      <c r="C586" s="1"/>
    </row>
    <row r="587" spans="2:3" ht="13.2">
      <c r="B587" s="1"/>
      <c r="C587" s="1"/>
    </row>
    <row r="588" spans="2:3" ht="13.2">
      <c r="B588" s="1"/>
      <c r="C588" s="1"/>
    </row>
    <row r="589" spans="2:3" ht="13.2">
      <c r="B589" s="1"/>
      <c r="C589" s="1"/>
    </row>
    <row r="590" spans="2:3" ht="13.2">
      <c r="B590" s="1"/>
      <c r="C590" s="1"/>
    </row>
    <row r="591" spans="2:3" ht="13.2">
      <c r="B591" s="1"/>
      <c r="C591" s="1"/>
    </row>
    <row r="592" spans="2:3" ht="13.2">
      <c r="B592" s="1"/>
      <c r="C592" s="1"/>
    </row>
    <row r="593" spans="2:3" ht="13.2">
      <c r="B593" s="1"/>
      <c r="C593" s="1"/>
    </row>
    <row r="594" spans="2:3" ht="13.2">
      <c r="B594" s="1"/>
      <c r="C594" s="1"/>
    </row>
    <row r="595" spans="2:3" ht="13.2">
      <c r="B595" s="1"/>
      <c r="C595" s="1"/>
    </row>
    <row r="596" spans="2:3" ht="13.2">
      <c r="B596" s="1"/>
      <c r="C596" s="1"/>
    </row>
    <row r="597" spans="2:3" ht="13.2">
      <c r="B597" s="1"/>
      <c r="C597" s="1"/>
    </row>
    <row r="598" spans="2:3" ht="13.2">
      <c r="B598" s="1"/>
      <c r="C598" s="1"/>
    </row>
    <row r="599" spans="2:3" ht="13.2">
      <c r="B599" s="1"/>
      <c r="C599" s="1"/>
    </row>
    <row r="600" spans="2:3" ht="13.2">
      <c r="B600" s="1"/>
      <c r="C600" s="1"/>
    </row>
    <row r="601" spans="2:3" ht="13.2">
      <c r="B601" s="1"/>
      <c r="C601" s="1"/>
    </row>
    <row r="602" spans="2:3" ht="13.2">
      <c r="B602" s="1"/>
      <c r="C602" s="1"/>
    </row>
    <row r="603" spans="2:3" ht="13.2">
      <c r="B603" s="1"/>
      <c r="C603" s="1"/>
    </row>
    <row r="604" spans="2:3" ht="13.2">
      <c r="B604" s="1"/>
      <c r="C604" s="1"/>
    </row>
    <row r="605" spans="2:3" ht="13.2">
      <c r="B605" s="1"/>
      <c r="C605" s="1"/>
    </row>
    <row r="606" spans="2:3" ht="13.2">
      <c r="B606" s="1"/>
      <c r="C606" s="1"/>
    </row>
    <row r="607" spans="2:3" ht="13.2">
      <c r="B607" s="1"/>
      <c r="C607" s="1"/>
    </row>
    <row r="608" spans="2:3" ht="13.2">
      <c r="B608" s="1"/>
      <c r="C608" s="1"/>
    </row>
    <row r="609" spans="2:3" ht="13.2">
      <c r="B609" s="1"/>
      <c r="C609" s="1"/>
    </row>
    <row r="610" spans="2:3" ht="13.2">
      <c r="B610" s="1"/>
      <c r="C610" s="1"/>
    </row>
    <row r="611" spans="2:3" ht="13.2">
      <c r="B611" s="1"/>
      <c r="C611" s="1"/>
    </row>
    <row r="612" spans="2:3" ht="13.2">
      <c r="B612" s="1"/>
      <c r="C612" s="1"/>
    </row>
    <row r="613" spans="2:3" ht="13.2">
      <c r="B613" s="1"/>
      <c r="C613" s="1"/>
    </row>
    <row r="614" spans="2:3" ht="13.2">
      <c r="B614" s="1"/>
      <c r="C614" s="1"/>
    </row>
    <row r="615" spans="2:3" ht="13.2">
      <c r="B615" s="1"/>
      <c r="C615" s="1"/>
    </row>
    <row r="616" spans="2:3" ht="13.2">
      <c r="B616" s="1"/>
      <c r="C616" s="1"/>
    </row>
    <row r="617" spans="2:3" ht="13.2">
      <c r="B617" s="1"/>
      <c r="C617" s="1"/>
    </row>
    <row r="618" spans="2:3" ht="13.2">
      <c r="B618" s="1"/>
      <c r="C618" s="1"/>
    </row>
    <row r="619" spans="2:3" ht="13.2">
      <c r="B619" s="1"/>
      <c r="C619" s="1"/>
    </row>
    <row r="620" spans="2:3" ht="13.2">
      <c r="B620" s="1"/>
      <c r="C620" s="1"/>
    </row>
    <row r="621" spans="2:3" ht="13.2">
      <c r="B621" s="1"/>
      <c r="C621" s="1"/>
    </row>
    <row r="622" spans="2:3" ht="13.2">
      <c r="B622" s="1"/>
      <c r="C622" s="1"/>
    </row>
    <row r="623" spans="2:3" ht="13.2">
      <c r="B623" s="1"/>
      <c r="C623" s="1"/>
    </row>
    <row r="624" spans="2:3" ht="13.2">
      <c r="B624" s="1"/>
      <c r="C624" s="1"/>
    </row>
    <row r="625" spans="2:3" ht="13.2">
      <c r="B625" s="1"/>
      <c r="C625" s="1"/>
    </row>
    <row r="626" spans="2:3" ht="13.2">
      <c r="B626" s="1"/>
      <c r="C626" s="1"/>
    </row>
    <row r="627" spans="2:3" ht="13.2">
      <c r="B627" s="1"/>
      <c r="C627" s="1"/>
    </row>
    <row r="628" spans="2:3" ht="13.2">
      <c r="B628" s="1"/>
      <c r="C628" s="1"/>
    </row>
    <row r="629" spans="2:3" ht="13.2">
      <c r="B629" s="1"/>
      <c r="C629" s="1"/>
    </row>
    <row r="630" spans="2:3" ht="13.2">
      <c r="B630" s="1"/>
      <c r="C630" s="1"/>
    </row>
    <row r="631" spans="2:3" ht="13.2">
      <c r="B631" s="1"/>
      <c r="C631" s="1"/>
    </row>
    <row r="632" spans="2:3" ht="13.2">
      <c r="B632" s="1"/>
      <c r="C632" s="1"/>
    </row>
    <row r="633" spans="2:3" ht="13.2">
      <c r="B633" s="1"/>
      <c r="C633" s="1"/>
    </row>
    <row r="634" spans="2:3" ht="13.2">
      <c r="B634" s="1"/>
      <c r="C634" s="1"/>
    </row>
    <row r="635" spans="2:3" ht="13.2">
      <c r="B635" s="1"/>
      <c r="C635" s="1"/>
    </row>
    <row r="636" spans="2:3" ht="13.2">
      <c r="B636" s="1"/>
      <c r="C636" s="1"/>
    </row>
    <row r="637" spans="2:3" ht="13.2">
      <c r="B637" s="1"/>
      <c r="C637" s="1"/>
    </row>
    <row r="638" spans="2:3" ht="13.2">
      <c r="B638" s="1"/>
      <c r="C638" s="1"/>
    </row>
    <row r="639" spans="2:3" ht="13.2">
      <c r="B639" s="1"/>
      <c r="C639" s="1"/>
    </row>
    <row r="640" spans="2:3" ht="13.2">
      <c r="B640" s="1"/>
      <c r="C640" s="1"/>
    </row>
    <row r="641" spans="2:3" ht="13.2">
      <c r="B641" s="1"/>
      <c r="C641" s="1"/>
    </row>
    <row r="642" spans="2:3" ht="13.2">
      <c r="B642" s="1"/>
      <c r="C642" s="1"/>
    </row>
    <row r="643" spans="2:3" ht="13.2">
      <c r="B643" s="1"/>
      <c r="C643" s="1"/>
    </row>
    <row r="644" spans="2:3" ht="13.2">
      <c r="B644" s="1"/>
      <c r="C644" s="1"/>
    </row>
    <row r="645" spans="2:3" ht="13.2">
      <c r="B645" s="1"/>
      <c r="C645" s="1"/>
    </row>
    <row r="646" spans="2:3" ht="13.2">
      <c r="B646" s="1"/>
      <c r="C646" s="1"/>
    </row>
    <row r="647" spans="2:3" ht="13.2">
      <c r="B647" s="1"/>
      <c r="C647" s="1"/>
    </row>
    <row r="648" spans="2:3" ht="13.2">
      <c r="B648" s="1"/>
      <c r="C648" s="1"/>
    </row>
    <row r="649" spans="2:3" ht="13.2">
      <c r="B649" s="1"/>
      <c r="C649" s="1"/>
    </row>
    <row r="650" spans="2:3" ht="13.2">
      <c r="B650" s="1"/>
      <c r="C650" s="1"/>
    </row>
    <row r="651" spans="2:3" ht="13.2">
      <c r="B651" s="1"/>
      <c r="C651" s="1"/>
    </row>
    <row r="652" spans="2:3" ht="13.2">
      <c r="B652" s="1"/>
      <c r="C652" s="1"/>
    </row>
    <row r="653" spans="2:3" ht="13.2">
      <c r="B653" s="1"/>
      <c r="C653" s="1"/>
    </row>
    <row r="654" spans="2:3" ht="13.2">
      <c r="B654" s="1"/>
      <c r="C654" s="1"/>
    </row>
    <row r="655" spans="2:3" ht="13.2">
      <c r="B655" s="1"/>
      <c r="C655" s="1"/>
    </row>
    <row r="656" spans="2:3" ht="13.2">
      <c r="B656" s="1"/>
      <c r="C656" s="1"/>
    </row>
    <row r="657" spans="2:3" ht="13.2">
      <c r="B657" s="1"/>
      <c r="C657" s="1"/>
    </row>
    <row r="658" spans="2:3" ht="13.2">
      <c r="B658" s="1"/>
      <c r="C658" s="1"/>
    </row>
    <row r="659" spans="2:3" ht="13.2">
      <c r="B659" s="1"/>
      <c r="C659" s="1"/>
    </row>
    <row r="660" spans="2:3" ht="13.2">
      <c r="B660" s="1"/>
      <c r="C660" s="1"/>
    </row>
    <row r="661" spans="2:3" ht="13.2">
      <c r="B661" s="1"/>
      <c r="C661" s="1"/>
    </row>
    <row r="662" spans="2:3" ht="13.2">
      <c r="B662" s="1"/>
      <c r="C662" s="1"/>
    </row>
    <row r="663" spans="2:3" ht="13.2">
      <c r="B663" s="1"/>
      <c r="C663" s="1"/>
    </row>
    <row r="664" spans="2:3" ht="13.2">
      <c r="B664" s="1"/>
      <c r="C664" s="1"/>
    </row>
    <row r="665" spans="2:3" ht="13.2">
      <c r="B665" s="1"/>
      <c r="C665" s="1"/>
    </row>
    <row r="666" spans="2:3" ht="13.2">
      <c r="B666" s="1"/>
      <c r="C666" s="1"/>
    </row>
    <row r="667" spans="2:3" ht="13.2">
      <c r="B667" s="1"/>
      <c r="C667" s="1"/>
    </row>
    <row r="668" spans="2:3" ht="13.2">
      <c r="B668" s="1"/>
      <c r="C668" s="1"/>
    </row>
    <row r="669" spans="2:3" ht="13.2">
      <c r="B669" s="1"/>
      <c r="C669" s="1"/>
    </row>
    <row r="670" spans="2:3" ht="13.2">
      <c r="B670" s="1"/>
      <c r="C670" s="1"/>
    </row>
    <row r="671" spans="2:3" ht="13.2">
      <c r="B671" s="1"/>
      <c r="C671" s="1"/>
    </row>
    <row r="672" spans="2:3" ht="13.2">
      <c r="B672" s="1"/>
      <c r="C672" s="1"/>
    </row>
    <row r="673" spans="2:3" ht="13.2">
      <c r="B673" s="1"/>
      <c r="C673" s="1"/>
    </row>
    <row r="674" spans="2:3" ht="13.2">
      <c r="B674" s="1"/>
      <c r="C674" s="1"/>
    </row>
    <row r="675" spans="2:3" ht="13.2">
      <c r="B675" s="1"/>
      <c r="C675" s="1"/>
    </row>
    <row r="676" spans="2:3" ht="13.2">
      <c r="B676" s="1"/>
      <c r="C676" s="1"/>
    </row>
    <row r="677" spans="2:3" ht="13.2">
      <c r="B677" s="1"/>
      <c r="C677" s="1"/>
    </row>
    <row r="678" spans="2:3" ht="13.2">
      <c r="B678" s="1"/>
      <c r="C678" s="1"/>
    </row>
    <row r="679" spans="2:3" ht="13.2">
      <c r="B679" s="1"/>
      <c r="C679" s="1"/>
    </row>
    <row r="680" spans="2:3" ht="13.2">
      <c r="B680" s="1"/>
      <c r="C680" s="1"/>
    </row>
    <row r="681" spans="2:3" ht="13.2">
      <c r="B681" s="1"/>
      <c r="C681" s="1"/>
    </row>
    <row r="682" spans="2:3" ht="13.2">
      <c r="B682" s="1"/>
      <c r="C682" s="1"/>
    </row>
    <row r="683" spans="2:3" ht="13.2">
      <c r="B683" s="1"/>
      <c r="C683" s="1"/>
    </row>
    <row r="684" spans="2:3" ht="13.2">
      <c r="B684" s="1"/>
      <c r="C684" s="1"/>
    </row>
    <row r="685" spans="2:3" ht="13.2">
      <c r="B685" s="1"/>
      <c r="C685" s="1"/>
    </row>
    <row r="686" spans="2:3" ht="13.2">
      <c r="B686" s="1"/>
      <c r="C686" s="1"/>
    </row>
    <row r="687" spans="2:3" ht="13.2">
      <c r="B687" s="1"/>
      <c r="C687" s="1"/>
    </row>
    <row r="688" spans="2:3" ht="13.2">
      <c r="B688" s="1"/>
      <c r="C688" s="1"/>
    </row>
    <row r="689" spans="2:3" ht="13.2">
      <c r="B689" s="1"/>
      <c r="C689" s="1"/>
    </row>
    <row r="690" spans="2:3" ht="13.2">
      <c r="B690" s="1"/>
      <c r="C690" s="1"/>
    </row>
    <row r="691" spans="2:3" ht="13.2">
      <c r="B691" s="1"/>
      <c r="C691" s="1"/>
    </row>
    <row r="692" spans="2:3" ht="13.2">
      <c r="B692" s="1"/>
      <c r="C692" s="1"/>
    </row>
    <row r="693" spans="2:3" ht="13.2">
      <c r="B693" s="1"/>
      <c r="C693" s="1"/>
    </row>
    <row r="694" spans="2:3" ht="13.2">
      <c r="B694" s="1"/>
      <c r="C694" s="1"/>
    </row>
    <row r="695" spans="2:3" ht="13.2">
      <c r="B695" s="1"/>
      <c r="C695" s="1"/>
    </row>
    <row r="696" spans="2:3" ht="13.2">
      <c r="B696" s="1"/>
      <c r="C696" s="1"/>
    </row>
    <row r="697" spans="2:3" ht="13.2">
      <c r="B697" s="1"/>
      <c r="C697" s="1"/>
    </row>
    <row r="698" spans="2:3" ht="13.2">
      <c r="B698" s="1"/>
      <c r="C698" s="1"/>
    </row>
    <row r="699" spans="2:3" ht="13.2">
      <c r="B699" s="1"/>
      <c r="C699" s="1"/>
    </row>
    <row r="700" spans="2:3" ht="13.2">
      <c r="B700" s="1"/>
      <c r="C700" s="1"/>
    </row>
    <row r="701" spans="2:3" ht="13.2">
      <c r="B701" s="1"/>
      <c r="C701" s="1"/>
    </row>
    <row r="702" spans="2:3" ht="13.2">
      <c r="B702" s="1"/>
      <c r="C702" s="1"/>
    </row>
    <row r="703" spans="2:3" ht="13.2">
      <c r="B703" s="1"/>
      <c r="C703" s="1"/>
    </row>
    <row r="704" spans="2:3" ht="13.2">
      <c r="B704" s="1"/>
      <c r="C704" s="1"/>
    </row>
    <row r="705" spans="2:3" ht="13.2">
      <c r="B705" s="1"/>
      <c r="C705" s="1"/>
    </row>
    <row r="706" spans="2:3" ht="13.2">
      <c r="B706" s="1"/>
      <c r="C706" s="1"/>
    </row>
    <row r="707" spans="2:3" ht="13.2">
      <c r="B707" s="1"/>
      <c r="C707" s="1"/>
    </row>
    <row r="708" spans="2:3" ht="13.2">
      <c r="B708" s="1"/>
      <c r="C708" s="1"/>
    </row>
    <row r="709" spans="2:3" ht="13.2">
      <c r="B709" s="1"/>
      <c r="C709" s="1"/>
    </row>
    <row r="710" spans="2:3" ht="13.2">
      <c r="B710" s="1"/>
      <c r="C710" s="1"/>
    </row>
    <row r="711" spans="2:3" ht="13.2">
      <c r="B711" s="1"/>
      <c r="C711" s="1"/>
    </row>
    <row r="712" spans="2:3" ht="13.2">
      <c r="B712" s="1"/>
      <c r="C712" s="1"/>
    </row>
    <row r="713" spans="2:3" ht="13.2">
      <c r="B713" s="1"/>
      <c r="C713" s="1"/>
    </row>
    <row r="714" spans="2:3" ht="13.2">
      <c r="B714" s="1"/>
      <c r="C714" s="1"/>
    </row>
    <row r="715" spans="2:3" ht="13.2">
      <c r="B715" s="1"/>
      <c r="C715" s="1"/>
    </row>
    <row r="716" spans="2:3" ht="13.2">
      <c r="B716" s="1"/>
      <c r="C716" s="1"/>
    </row>
    <row r="717" spans="2:3" ht="13.2">
      <c r="B717" s="1"/>
      <c r="C717" s="1"/>
    </row>
    <row r="718" spans="2:3" ht="13.2">
      <c r="B718" s="1"/>
      <c r="C718" s="1"/>
    </row>
    <row r="719" spans="2:3" ht="13.2">
      <c r="B719" s="1"/>
      <c r="C719" s="1"/>
    </row>
    <row r="720" spans="2:3" ht="13.2">
      <c r="B720" s="1"/>
      <c r="C720" s="1"/>
    </row>
    <row r="721" spans="2:3" ht="13.2">
      <c r="B721" s="1"/>
      <c r="C721" s="1"/>
    </row>
    <row r="722" spans="2:3" ht="13.2">
      <c r="B722" s="1"/>
      <c r="C722" s="1"/>
    </row>
    <row r="723" spans="2:3" ht="13.2">
      <c r="B723" s="1"/>
      <c r="C723" s="1"/>
    </row>
    <row r="724" spans="2:3" ht="13.2">
      <c r="B724" s="1"/>
      <c r="C724" s="1"/>
    </row>
    <row r="725" spans="2:3" ht="13.2">
      <c r="B725" s="1"/>
      <c r="C725" s="1"/>
    </row>
    <row r="726" spans="2:3" ht="13.2">
      <c r="B726" s="1"/>
      <c r="C726" s="1"/>
    </row>
    <row r="727" spans="2:3" ht="13.2">
      <c r="B727" s="1"/>
      <c r="C727" s="1"/>
    </row>
    <row r="728" spans="2:3" ht="13.2">
      <c r="B728" s="1"/>
      <c r="C728" s="1"/>
    </row>
    <row r="729" spans="2:3" ht="13.2">
      <c r="B729" s="1"/>
      <c r="C729" s="1"/>
    </row>
    <row r="730" spans="2:3" ht="13.2">
      <c r="B730" s="1"/>
      <c r="C730" s="1"/>
    </row>
    <row r="731" spans="2:3" ht="13.2">
      <c r="B731" s="1"/>
      <c r="C731" s="1"/>
    </row>
    <row r="732" spans="2:3" ht="13.2">
      <c r="B732" s="1"/>
      <c r="C732" s="1"/>
    </row>
    <row r="733" spans="2:3" ht="13.2">
      <c r="B733" s="1"/>
      <c r="C733" s="1"/>
    </row>
    <row r="734" spans="2:3" ht="13.2">
      <c r="B734" s="1"/>
      <c r="C734" s="1"/>
    </row>
    <row r="735" spans="2:3" ht="13.2">
      <c r="B735" s="1"/>
      <c r="C735" s="1"/>
    </row>
    <row r="736" spans="2:3" ht="13.2">
      <c r="B736" s="1"/>
      <c r="C736" s="1"/>
    </row>
    <row r="737" spans="2:3" ht="13.2">
      <c r="B737" s="1"/>
      <c r="C737" s="1"/>
    </row>
    <row r="738" spans="2:3" ht="13.2">
      <c r="B738" s="1"/>
      <c r="C738" s="1"/>
    </row>
    <row r="739" spans="2:3" ht="13.2">
      <c r="B739" s="1"/>
      <c r="C739" s="1"/>
    </row>
    <row r="740" spans="2:3" ht="13.2">
      <c r="B740" s="1"/>
      <c r="C740" s="1"/>
    </row>
    <row r="741" spans="2:3" ht="13.2">
      <c r="B741" s="1"/>
      <c r="C741" s="1"/>
    </row>
    <row r="742" spans="2:3" ht="13.2">
      <c r="B742" s="1"/>
      <c r="C742" s="1"/>
    </row>
    <row r="743" spans="2:3" ht="13.2">
      <c r="B743" s="1"/>
      <c r="C743" s="1"/>
    </row>
    <row r="744" spans="2:3" ht="13.2">
      <c r="B744" s="1"/>
      <c r="C744" s="1"/>
    </row>
    <row r="745" spans="2:3" ht="13.2">
      <c r="B745" s="1"/>
      <c r="C745" s="1"/>
    </row>
    <row r="746" spans="2:3" ht="13.2">
      <c r="B746" s="1"/>
      <c r="C746" s="1"/>
    </row>
    <row r="747" spans="2:3" ht="13.2">
      <c r="B747" s="1"/>
      <c r="C747" s="1"/>
    </row>
    <row r="748" spans="2:3" ht="13.2">
      <c r="B748" s="1"/>
      <c r="C748" s="1"/>
    </row>
    <row r="749" spans="2:3" ht="13.2">
      <c r="B749" s="1"/>
      <c r="C749" s="1"/>
    </row>
    <row r="750" spans="2:3" ht="13.2">
      <c r="B750" s="1"/>
      <c r="C750" s="1"/>
    </row>
    <row r="751" spans="2:3" ht="13.2">
      <c r="B751" s="1"/>
      <c r="C751" s="1"/>
    </row>
    <row r="752" spans="2:3" ht="13.2">
      <c r="B752" s="1"/>
      <c r="C752" s="1"/>
    </row>
    <row r="753" spans="2:3" ht="13.2">
      <c r="B753" s="1"/>
      <c r="C753" s="1"/>
    </row>
    <row r="754" spans="2:3" ht="13.2">
      <c r="B754" s="1"/>
      <c r="C754" s="1"/>
    </row>
    <row r="755" spans="2:3" ht="13.2">
      <c r="B755" s="1"/>
      <c r="C755" s="1"/>
    </row>
    <row r="756" spans="2:3" ht="13.2">
      <c r="B756" s="1"/>
      <c r="C756" s="1"/>
    </row>
    <row r="757" spans="2:3" ht="13.2">
      <c r="B757" s="1"/>
      <c r="C757" s="1"/>
    </row>
    <row r="758" spans="2:3" ht="13.2">
      <c r="B758" s="1"/>
      <c r="C758" s="1"/>
    </row>
    <row r="759" spans="2:3" ht="13.2">
      <c r="B759" s="1"/>
      <c r="C759" s="1"/>
    </row>
    <row r="760" spans="2:3" ht="13.2">
      <c r="B760" s="1"/>
      <c r="C760" s="1"/>
    </row>
    <row r="761" spans="2:3" ht="13.2">
      <c r="B761" s="1"/>
      <c r="C761" s="1"/>
    </row>
    <row r="762" spans="2:3" ht="13.2">
      <c r="B762" s="1"/>
      <c r="C762" s="1"/>
    </row>
    <row r="763" spans="2:3" ht="13.2">
      <c r="B763" s="1"/>
      <c r="C763" s="1"/>
    </row>
    <row r="764" spans="2:3" ht="13.2">
      <c r="B764" s="1"/>
      <c r="C764" s="1"/>
    </row>
    <row r="765" spans="2:3" ht="13.2">
      <c r="B765" s="1"/>
      <c r="C765" s="1"/>
    </row>
    <row r="766" spans="2:3" ht="13.2">
      <c r="B766" s="1"/>
      <c r="C766" s="1"/>
    </row>
    <row r="767" spans="2:3" ht="13.2">
      <c r="B767" s="1"/>
      <c r="C767" s="1"/>
    </row>
    <row r="768" spans="2:3" ht="13.2">
      <c r="B768" s="1"/>
      <c r="C768" s="1"/>
    </row>
    <row r="769" spans="2:3" ht="13.2">
      <c r="B769" s="1"/>
      <c r="C769" s="1"/>
    </row>
    <row r="770" spans="2:3" ht="13.2">
      <c r="B770" s="1"/>
      <c r="C770" s="1"/>
    </row>
    <row r="771" spans="2:3" ht="13.2">
      <c r="B771" s="1"/>
      <c r="C771" s="1"/>
    </row>
    <row r="772" spans="2:3" ht="13.2">
      <c r="B772" s="1"/>
      <c r="C772" s="1"/>
    </row>
    <row r="773" spans="2:3" ht="13.2">
      <c r="B773" s="1"/>
      <c r="C773" s="1"/>
    </row>
    <row r="774" spans="2:3" ht="13.2">
      <c r="B774" s="1"/>
      <c r="C774" s="1"/>
    </row>
    <row r="775" spans="2:3" ht="13.2">
      <c r="B775" s="1"/>
      <c r="C775" s="1"/>
    </row>
    <row r="776" spans="2:3" ht="13.2">
      <c r="B776" s="1"/>
      <c r="C776" s="1"/>
    </row>
    <row r="777" spans="2:3" ht="13.2">
      <c r="B777" s="1"/>
      <c r="C777" s="1"/>
    </row>
    <row r="778" spans="2:3" ht="13.2">
      <c r="B778" s="1"/>
      <c r="C778" s="1"/>
    </row>
    <row r="779" spans="2:3" ht="13.2">
      <c r="B779" s="1"/>
      <c r="C779" s="1"/>
    </row>
    <row r="780" spans="2:3" ht="13.2">
      <c r="B780" s="1"/>
      <c r="C780" s="1"/>
    </row>
    <row r="781" spans="2:3" ht="13.2">
      <c r="B781" s="1"/>
      <c r="C781" s="1"/>
    </row>
    <row r="782" spans="2:3" ht="13.2">
      <c r="B782" s="1"/>
      <c r="C782" s="1"/>
    </row>
    <row r="783" spans="2:3" ht="13.2">
      <c r="B783" s="1"/>
      <c r="C783" s="1"/>
    </row>
    <row r="784" spans="2:3" ht="13.2">
      <c r="B784" s="1"/>
      <c r="C784" s="1"/>
    </row>
    <row r="785" spans="2:3" ht="13.2">
      <c r="B785" s="1"/>
      <c r="C785" s="1"/>
    </row>
    <row r="786" spans="2:3" ht="13.2">
      <c r="B786" s="1"/>
      <c r="C786" s="1"/>
    </row>
    <row r="787" spans="2:3" ht="13.2">
      <c r="B787" s="1"/>
      <c r="C787" s="1"/>
    </row>
    <row r="788" spans="2:3" ht="13.2">
      <c r="B788" s="1"/>
      <c r="C788" s="1"/>
    </row>
    <row r="789" spans="2:3" ht="13.2">
      <c r="B789" s="1"/>
      <c r="C789" s="1"/>
    </row>
    <row r="790" spans="2:3" ht="13.2">
      <c r="B790" s="1"/>
      <c r="C790" s="1"/>
    </row>
    <row r="791" spans="2:3" ht="13.2">
      <c r="B791" s="1"/>
      <c r="C791" s="1"/>
    </row>
    <row r="792" spans="2:3" ht="13.2">
      <c r="B792" s="1"/>
      <c r="C792" s="1"/>
    </row>
    <row r="793" spans="2:3" ht="13.2">
      <c r="B793" s="1"/>
      <c r="C793" s="1"/>
    </row>
    <row r="794" spans="2:3" ht="13.2">
      <c r="B794" s="1"/>
      <c r="C794" s="1"/>
    </row>
    <row r="795" spans="2:3" ht="13.2">
      <c r="B795" s="1"/>
      <c r="C795" s="1"/>
    </row>
    <row r="796" spans="2:3" ht="13.2">
      <c r="B796" s="1"/>
      <c r="C796" s="1"/>
    </row>
    <row r="797" spans="2:3" ht="13.2">
      <c r="B797" s="1"/>
      <c r="C797" s="1"/>
    </row>
    <row r="798" spans="2:3" ht="13.2">
      <c r="B798" s="1"/>
      <c r="C798" s="1"/>
    </row>
    <row r="799" spans="2:3" ht="13.2">
      <c r="B799" s="1"/>
      <c r="C799" s="1"/>
    </row>
    <row r="800" spans="2:3" ht="13.2">
      <c r="B800" s="1"/>
      <c r="C800" s="1"/>
    </row>
    <row r="801" spans="2:3" ht="13.2">
      <c r="B801" s="1"/>
      <c r="C801" s="1"/>
    </row>
    <row r="802" spans="2:3" ht="13.2">
      <c r="B802" s="1"/>
      <c r="C802" s="1"/>
    </row>
    <row r="803" spans="2:3" ht="13.2">
      <c r="B803" s="1"/>
      <c r="C803" s="1"/>
    </row>
    <row r="804" spans="2:3" ht="13.2">
      <c r="B804" s="1"/>
      <c r="C804" s="1"/>
    </row>
    <row r="805" spans="2:3" ht="13.2">
      <c r="B805" s="1"/>
      <c r="C805" s="1"/>
    </row>
    <row r="806" spans="2:3" ht="13.2">
      <c r="B806" s="1"/>
      <c r="C806" s="1"/>
    </row>
    <row r="807" spans="2:3" ht="13.2">
      <c r="B807" s="1"/>
      <c r="C807" s="1"/>
    </row>
    <row r="808" spans="2:3" ht="13.2">
      <c r="B808" s="1"/>
      <c r="C808" s="1"/>
    </row>
    <row r="809" spans="2:3" ht="13.2">
      <c r="B809" s="1"/>
      <c r="C809" s="1"/>
    </row>
    <row r="810" spans="2:3" ht="13.2">
      <c r="B810" s="1"/>
      <c r="C810" s="1"/>
    </row>
    <row r="811" spans="2:3" ht="13.2">
      <c r="B811" s="1"/>
      <c r="C811" s="1"/>
    </row>
    <row r="812" spans="2:3" ht="13.2">
      <c r="B812" s="1"/>
      <c r="C812" s="1"/>
    </row>
    <row r="813" spans="2:3" ht="13.2">
      <c r="B813" s="1"/>
      <c r="C813" s="1"/>
    </row>
    <row r="814" spans="2:3" ht="13.2">
      <c r="B814" s="1"/>
      <c r="C814" s="1"/>
    </row>
    <row r="815" spans="2:3" ht="13.2">
      <c r="B815" s="1"/>
      <c r="C815" s="1"/>
    </row>
    <row r="816" spans="2:3" ht="13.2">
      <c r="B816" s="1"/>
      <c r="C816" s="1"/>
    </row>
    <row r="817" spans="2:3" ht="13.2">
      <c r="B817" s="1"/>
      <c r="C817" s="1"/>
    </row>
    <row r="818" spans="2:3" ht="13.2">
      <c r="B818" s="1"/>
      <c r="C818" s="1"/>
    </row>
    <row r="819" spans="2:3" ht="13.2">
      <c r="B819" s="1"/>
      <c r="C819" s="1"/>
    </row>
    <row r="820" spans="2:3" ht="13.2">
      <c r="B820" s="1"/>
      <c r="C820" s="1"/>
    </row>
    <row r="821" spans="2:3" ht="13.2">
      <c r="B821" s="1"/>
      <c r="C821" s="1"/>
    </row>
    <row r="822" spans="2:3" ht="13.2">
      <c r="B822" s="1"/>
      <c r="C822" s="1"/>
    </row>
    <row r="823" spans="2:3" ht="13.2">
      <c r="B823" s="1"/>
      <c r="C823" s="1"/>
    </row>
    <row r="824" spans="2:3" ht="13.2">
      <c r="B824" s="1"/>
      <c r="C824" s="1"/>
    </row>
    <row r="825" spans="2:3" ht="13.2">
      <c r="B825" s="1"/>
      <c r="C825" s="1"/>
    </row>
    <row r="826" spans="2:3" ht="13.2">
      <c r="B826" s="1"/>
      <c r="C826" s="1"/>
    </row>
    <row r="827" spans="2:3" ht="13.2">
      <c r="B827" s="1"/>
      <c r="C827" s="1"/>
    </row>
    <row r="828" spans="2:3" ht="13.2">
      <c r="B828" s="1"/>
      <c r="C828" s="1"/>
    </row>
    <row r="829" spans="2:3" ht="13.2">
      <c r="B829" s="1"/>
      <c r="C829" s="1"/>
    </row>
    <row r="830" spans="2:3" ht="13.2">
      <c r="B830" s="1"/>
      <c r="C830" s="1"/>
    </row>
    <row r="831" spans="2:3" ht="13.2">
      <c r="B831" s="1"/>
      <c r="C831" s="1"/>
    </row>
    <row r="832" spans="2:3" ht="13.2">
      <c r="B832" s="1"/>
      <c r="C832" s="1"/>
    </row>
    <row r="833" spans="2:3" ht="13.2">
      <c r="B833" s="1"/>
      <c r="C833" s="1"/>
    </row>
    <row r="834" spans="2:3" ht="13.2">
      <c r="B834" s="1"/>
      <c r="C834" s="1"/>
    </row>
    <row r="835" spans="2:3" ht="13.2">
      <c r="B835" s="1"/>
      <c r="C835" s="1"/>
    </row>
    <row r="836" spans="2:3" ht="13.2">
      <c r="B836" s="1"/>
      <c r="C836" s="1"/>
    </row>
    <row r="837" spans="2:3" ht="13.2">
      <c r="B837" s="1"/>
      <c r="C837" s="1"/>
    </row>
    <row r="838" spans="2:3" ht="13.2">
      <c r="B838" s="1"/>
      <c r="C838" s="1"/>
    </row>
    <row r="839" spans="2:3" ht="13.2">
      <c r="B839" s="1"/>
      <c r="C839" s="1"/>
    </row>
    <row r="840" spans="2:3" ht="13.2">
      <c r="B840" s="1"/>
      <c r="C840" s="1"/>
    </row>
    <row r="841" spans="2:3" ht="13.2">
      <c r="B841" s="1"/>
      <c r="C841" s="1"/>
    </row>
    <row r="842" spans="2:3" ht="13.2">
      <c r="B842" s="1"/>
      <c r="C842" s="1"/>
    </row>
    <row r="843" spans="2:3" ht="13.2">
      <c r="B843" s="1"/>
      <c r="C843" s="1"/>
    </row>
    <row r="844" spans="2:3" ht="13.2">
      <c r="B844" s="1"/>
      <c r="C844" s="1"/>
    </row>
    <row r="845" spans="2:3" ht="13.2">
      <c r="B845" s="1"/>
      <c r="C845" s="1"/>
    </row>
    <row r="846" spans="2:3" ht="13.2">
      <c r="B846" s="1"/>
      <c r="C846" s="1"/>
    </row>
    <row r="847" spans="2:3" ht="13.2">
      <c r="B847" s="1"/>
      <c r="C847" s="1"/>
    </row>
    <row r="848" spans="2:3" ht="13.2">
      <c r="B848" s="1"/>
      <c r="C848" s="1"/>
    </row>
    <row r="849" spans="2:3" ht="13.2">
      <c r="B849" s="1"/>
      <c r="C849" s="1"/>
    </row>
    <row r="850" spans="2:3" ht="13.2">
      <c r="B850" s="1"/>
      <c r="C850" s="1"/>
    </row>
    <row r="851" spans="2:3" ht="13.2">
      <c r="B851" s="1"/>
      <c r="C851" s="1"/>
    </row>
    <row r="852" spans="2:3" ht="13.2">
      <c r="B852" s="1"/>
      <c r="C852" s="1"/>
    </row>
    <row r="853" spans="2:3" ht="13.2">
      <c r="B853" s="1"/>
      <c r="C853" s="1"/>
    </row>
    <row r="854" spans="2:3" ht="13.2">
      <c r="B854" s="1"/>
      <c r="C854" s="1"/>
    </row>
    <row r="855" spans="2:3" ht="13.2">
      <c r="B855" s="1"/>
      <c r="C855" s="1"/>
    </row>
    <row r="856" spans="2:3" ht="13.2">
      <c r="B856" s="1"/>
      <c r="C856" s="1"/>
    </row>
    <row r="857" spans="2:3" ht="13.2">
      <c r="B857" s="1"/>
      <c r="C857" s="1"/>
    </row>
    <row r="858" spans="2:3" ht="13.2">
      <c r="B858" s="1"/>
      <c r="C858" s="1"/>
    </row>
    <row r="859" spans="2:3" ht="13.2">
      <c r="B859" s="1"/>
      <c r="C859" s="1"/>
    </row>
    <row r="860" spans="2:3" ht="13.2">
      <c r="B860" s="1"/>
      <c r="C860" s="1"/>
    </row>
    <row r="861" spans="2:3" ht="13.2">
      <c r="B861" s="1"/>
      <c r="C861" s="1"/>
    </row>
    <row r="862" spans="2:3" ht="13.2">
      <c r="B862" s="1"/>
      <c r="C862" s="1"/>
    </row>
    <row r="863" spans="2:3" ht="13.2">
      <c r="B863" s="1"/>
      <c r="C863" s="1"/>
    </row>
    <row r="864" spans="2:3" ht="13.2">
      <c r="B864" s="1"/>
      <c r="C864" s="1"/>
    </row>
    <row r="865" spans="2:3" ht="13.2">
      <c r="B865" s="1"/>
      <c r="C865" s="1"/>
    </row>
    <row r="866" spans="2:3" ht="13.2">
      <c r="B866" s="1"/>
      <c r="C866" s="1"/>
    </row>
    <row r="867" spans="2:3" ht="13.2">
      <c r="B867" s="1"/>
      <c r="C867" s="1"/>
    </row>
    <row r="868" spans="2:3" ht="13.2">
      <c r="B868" s="1"/>
      <c r="C868" s="1"/>
    </row>
    <row r="869" spans="2:3" ht="13.2">
      <c r="B869" s="1"/>
      <c r="C869" s="1"/>
    </row>
    <row r="870" spans="2:3" ht="13.2">
      <c r="B870" s="1"/>
      <c r="C870" s="1"/>
    </row>
    <row r="871" spans="2:3" ht="13.2">
      <c r="B871" s="1"/>
      <c r="C871" s="1"/>
    </row>
    <row r="872" spans="2:3" ht="13.2">
      <c r="B872" s="1"/>
      <c r="C872" s="1"/>
    </row>
    <row r="873" spans="2:3" ht="13.2">
      <c r="B873" s="1"/>
      <c r="C873" s="1"/>
    </row>
    <row r="874" spans="2:3" ht="13.2">
      <c r="B874" s="1"/>
      <c r="C874" s="1"/>
    </row>
    <row r="875" spans="2:3" ht="13.2">
      <c r="B875" s="1"/>
      <c r="C875" s="1"/>
    </row>
    <row r="876" spans="2:3" ht="13.2">
      <c r="B876" s="1"/>
      <c r="C876" s="1"/>
    </row>
    <row r="877" spans="2:3" ht="13.2">
      <c r="B877" s="1"/>
      <c r="C877" s="1"/>
    </row>
    <row r="878" spans="2:3" ht="13.2">
      <c r="B878" s="1"/>
      <c r="C878" s="1"/>
    </row>
    <row r="879" spans="2:3" ht="13.2">
      <c r="B879" s="1"/>
      <c r="C879" s="1"/>
    </row>
    <row r="880" spans="2:3" ht="13.2">
      <c r="B880" s="1"/>
      <c r="C880" s="1"/>
    </row>
    <row r="881" spans="2:3" ht="13.2">
      <c r="B881" s="1"/>
      <c r="C881" s="1"/>
    </row>
    <row r="882" spans="2:3" ht="13.2">
      <c r="B882" s="1"/>
      <c r="C882" s="1"/>
    </row>
    <row r="883" spans="2:3" ht="13.2">
      <c r="B883" s="1"/>
      <c r="C883" s="1"/>
    </row>
    <row r="884" spans="2:3" ht="13.2">
      <c r="B884" s="1"/>
      <c r="C884" s="1"/>
    </row>
    <row r="885" spans="2:3" ht="13.2">
      <c r="B885" s="1"/>
      <c r="C885" s="1"/>
    </row>
    <row r="886" spans="2:3" ht="13.2">
      <c r="B886" s="1"/>
      <c r="C886" s="1"/>
    </row>
    <row r="887" spans="2:3" ht="13.2">
      <c r="B887" s="1"/>
      <c r="C887" s="1"/>
    </row>
    <row r="888" spans="2:3" ht="13.2">
      <c r="B888" s="1"/>
      <c r="C888" s="1"/>
    </row>
    <row r="889" spans="2:3" ht="13.2">
      <c r="B889" s="1"/>
      <c r="C889" s="1"/>
    </row>
    <row r="890" spans="2:3" ht="13.2">
      <c r="B890" s="1"/>
      <c r="C890" s="1"/>
    </row>
    <row r="891" spans="2:3" ht="13.2">
      <c r="B891" s="1"/>
      <c r="C891" s="1"/>
    </row>
    <row r="892" spans="2:3" ht="13.2">
      <c r="B892" s="1"/>
      <c r="C892" s="1"/>
    </row>
    <row r="893" spans="2:3" ht="13.2">
      <c r="B893" s="1"/>
      <c r="C893" s="1"/>
    </row>
    <row r="894" spans="2:3" ht="13.2">
      <c r="B894" s="1"/>
      <c r="C894" s="1"/>
    </row>
    <row r="895" spans="2:3" ht="13.2">
      <c r="B895" s="1"/>
      <c r="C895" s="1"/>
    </row>
    <row r="896" spans="2:3" ht="13.2">
      <c r="B896" s="1"/>
      <c r="C896" s="1"/>
    </row>
    <row r="897" spans="2:3" ht="13.2">
      <c r="B897" s="1"/>
      <c r="C897" s="1"/>
    </row>
    <row r="898" spans="2:3" ht="13.2">
      <c r="B898" s="1"/>
      <c r="C898" s="1"/>
    </row>
    <row r="899" spans="2:3" ht="13.2">
      <c r="B899" s="1"/>
      <c r="C899" s="1"/>
    </row>
    <row r="900" spans="2:3" ht="13.2">
      <c r="B900" s="1"/>
      <c r="C900" s="1"/>
    </row>
    <row r="901" spans="2:3" ht="13.2">
      <c r="B901" s="1"/>
      <c r="C901" s="1"/>
    </row>
    <row r="902" spans="2:3" ht="13.2">
      <c r="B902" s="1"/>
      <c r="C902" s="1"/>
    </row>
    <row r="903" spans="2:3" ht="13.2">
      <c r="B903" s="1"/>
      <c r="C903" s="1"/>
    </row>
    <row r="904" spans="2:3" ht="13.2">
      <c r="B904" s="1"/>
      <c r="C904" s="1"/>
    </row>
    <row r="905" spans="2:3" ht="13.2">
      <c r="B905" s="1"/>
      <c r="C905" s="1"/>
    </row>
    <row r="906" spans="2:3" ht="13.2">
      <c r="B906" s="1"/>
      <c r="C906" s="1"/>
    </row>
    <row r="907" spans="2:3" ht="13.2">
      <c r="B907" s="1"/>
      <c r="C907" s="1"/>
    </row>
    <row r="908" spans="2:3" ht="13.2">
      <c r="B908" s="1"/>
      <c r="C908" s="1"/>
    </row>
    <row r="909" spans="2:3" ht="13.2">
      <c r="B909" s="1"/>
      <c r="C909" s="1"/>
    </row>
    <row r="910" spans="2:3" ht="13.2">
      <c r="B910" s="1"/>
      <c r="C910" s="1"/>
    </row>
    <row r="911" spans="2:3" ht="13.2">
      <c r="B911" s="1"/>
      <c r="C911" s="1"/>
    </row>
    <row r="912" spans="2:3" ht="13.2">
      <c r="B912" s="1"/>
      <c r="C912" s="1"/>
    </row>
    <row r="913" spans="2:3" ht="13.2">
      <c r="B913" s="1"/>
      <c r="C913" s="1"/>
    </row>
    <row r="914" spans="2:3" ht="13.2">
      <c r="B914" s="1"/>
      <c r="C914" s="1"/>
    </row>
    <row r="915" spans="2:3" ht="13.2">
      <c r="B915" s="1"/>
      <c r="C915" s="1"/>
    </row>
    <row r="916" spans="2:3" ht="13.2">
      <c r="B916" s="1"/>
      <c r="C916" s="1"/>
    </row>
    <row r="917" spans="2:3" ht="13.2">
      <c r="B917" s="1"/>
      <c r="C917" s="1"/>
    </row>
    <row r="918" spans="2:3" ht="13.2">
      <c r="B918" s="1"/>
      <c r="C918" s="1"/>
    </row>
    <row r="919" spans="2:3" ht="13.2">
      <c r="B919" s="1"/>
      <c r="C919" s="1"/>
    </row>
    <row r="920" spans="2:3" ht="13.2">
      <c r="B920" s="1"/>
      <c r="C920" s="1"/>
    </row>
    <row r="921" spans="2:3" ht="13.2">
      <c r="B921" s="1"/>
      <c r="C921" s="1"/>
    </row>
    <row r="922" spans="2:3" ht="13.2">
      <c r="B922" s="1"/>
      <c r="C922" s="1"/>
    </row>
    <row r="923" spans="2:3" ht="13.2">
      <c r="B923" s="1"/>
      <c r="C923" s="1"/>
    </row>
    <row r="924" spans="2:3" ht="13.2">
      <c r="B924" s="1"/>
      <c r="C924" s="1"/>
    </row>
    <row r="925" spans="2:3" ht="13.2">
      <c r="B925" s="1"/>
      <c r="C925" s="1"/>
    </row>
    <row r="926" spans="2:3" ht="13.2">
      <c r="B926" s="1"/>
      <c r="C926" s="1"/>
    </row>
    <row r="927" spans="2:3" ht="13.2">
      <c r="B927" s="1"/>
      <c r="C927" s="1"/>
    </row>
    <row r="928" spans="2:3" ht="13.2">
      <c r="B928" s="1"/>
      <c r="C928" s="1"/>
    </row>
    <row r="929" spans="2:3" ht="13.2">
      <c r="B929" s="1"/>
      <c r="C929" s="1"/>
    </row>
    <row r="930" spans="2:3" ht="13.2">
      <c r="B930" s="1"/>
      <c r="C930" s="1"/>
    </row>
    <row r="931" spans="2:3" ht="13.2">
      <c r="B931" s="1"/>
      <c r="C931" s="1"/>
    </row>
    <row r="932" spans="2:3" ht="13.2">
      <c r="B932" s="1"/>
      <c r="C932" s="1"/>
    </row>
    <row r="933" spans="2:3" ht="13.2">
      <c r="B933" s="1"/>
      <c r="C933" s="1"/>
    </row>
    <row r="934" spans="2:3" ht="13.2">
      <c r="B934" s="1"/>
      <c r="C934" s="1"/>
    </row>
    <row r="935" spans="2:3" ht="13.2">
      <c r="B935" s="1"/>
      <c r="C935" s="1"/>
    </row>
    <row r="936" spans="2:3" ht="13.2">
      <c r="B936" s="1"/>
      <c r="C936" s="1"/>
    </row>
    <row r="937" spans="2:3" ht="13.2">
      <c r="B937" s="1"/>
      <c r="C937" s="1"/>
    </row>
    <row r="938" spans="2:3" ht="13.2">
      <c r="B938" s="1"/>
      <c r="C938" s="1"/>
    </row>
    <row r="939" spans="2:3" ht="13.2">
      <c r="B939" s="1"/>
      <c r="C939" s="1"/>
    </row>
    <row r="940" spans="2:3" ht="13.2">
      <c r="B940" s="1"/>
      <c r="C940" s="1"/>
    </row>
    <row r="941" spans="2:3" ht="13.2">
      <c r="B941" s="1"/>
      <c r="C941" s="1"/>
    </row>
    <row r="942" spans="2:3" ht="13.2">
      <c r="B942" s="1"/>
      <c r="C942" s="1"/>
    </row>
    <row r="943" spans="2:3" ht="13.2">
      <c r="B943" s="1"/>
      <c r="C943" s="1"/>
    </row>
    <row r="944" spans="2:3" ht="13.2">
      <c r="B944" s="1"/>
      <c r="C944" s="1"/>
    </row>
    <row r="945" spans="2:3" ht="13.2">
      <c r="B945" s="1"/>
      <c r="C945" s="1"/>
    </row>
    <row r="946" spans="2:3" ht="13.2">
      <c r="B946" s="1"/>
      <c r="C946" s="1"/>
    </row>
    <row r="947" spans="2:3" ht="13.2">
      <c r="B947" s="1"/>
      <c r="C947" s="1"/>
    </row>
    <row r="948" spans="2:3" ht="13.2">
      <c r="B948" s="1"/>
      <c r="C948" s="1"/>
    </row>
    <row r="949" spans="2:3" ht="13.2">
      <c r="B949" s="1"/>
      <c r="C949" s="1"/>
    </row>
    <row r="950" spans="2:3" ht="13.2">
      <c r="B950" s="1"/>
      <c r="C950" s="1"/>
    </row>
    <row r="951" spans="2:3" ht="13.2">
      <c r="B951" s="1"/>
      <c r="C951" s="1"/>
    </row>
    <row r="952" spans="2:3" ht="13.2">
      <c r="B952" s="1"/>
      <c r="C952" s="1"/>
    </row>
    <row r="953" spans="2:3" ht="13.2">
      <c r="B953" s="1"/>
      <c r="C953" s="1"/>
    </row>
    <row r="954" spans="2:3" ht="13.2">
      <c r="B954" s="1"/>
      <c r="C954" s="1"/>
    </row>
    <row r="955" spans="2:3" ht="13.2">
      <c r="B955" s="1"/>
      <c r="C955" s="1"/>
    </row>
    <row r="956" spans="2:3" ht="13.2">
      <c r="B956" s="1"/>
      <c r="C956" s="1"/>
    </row>
    <row r="957" spans="2:3" ht="13.2">
      <c r="B957" s="1"/>
      <c r="C957" s="1"/>
    </row>
    <row r="958" spans="2:3" ht="13.2">
      <c r="B958" s="1"/>
      <c r="C958" s="1"/>
    </row>
    <row r="959" spans="2:3" ht="13.2">
      <c r="B959" s="1"/>
      <c r="C959" s="1"/>
    </row>
    <row r="960" spans="2:3" ht="13.2">
      <c r="B960" s="1"/>
      <c r="C960" s="1"/>
    </row>
    <row r="961" spans="2:3" ht="13.2">
      <c r="B961" s="1"/>
      <c r="C961" s="1"/>
    </row>
    <row r="962" spans="2:3" ht="13.2">
      <c r="B962" s="1"/>
      <c r="C962" s="1"/>
    </row>
    <row r="963" spans="2:3" ht="13.2">
      <c r="B963" s="1"/>
      <c r="C963" s="1"/>
    </row>
    <row r="964" spans="2:3" ht="13.2">
      <c r="B964" s="1"/>
      <c r="C964" s="1"/>
    </row>
    <row r="965" spans="2:3" ht="13.2">
      <c r="B965" s="1"/>
      <c r="C965" s="1"/>
    </row>
    <row r="966" spans="2:3" ht="13.2">
      <c r="B966" s="1"/>
      <c r="C966" s="1"/>
    </row>
    <row r="967" spans="2:3" ht="13.2">
      <c r="B967" s="1"/>
      <c r="C967" s="1"/>
    </row>
    <row r="968" spans="2:3" ht="13.2">
      <c r="B968" s="1"/>
      <c r="C968" s="1"/>
    </row>
    <row r="969" spans="2:3" ht="13.2">
      <c r="B969" s="1"/>
      <c r="C969" s="1"/>
    </row>
    <row r="970" spans="2:3" ht="13.2">
      <c r="B970" s="1"/>
      <c r="C970" s="1"/>
    </row>
    <row r="971" spans="2:3" ht="13.2">
      <c r="B971" s="1"/>
      <c r="C971" s="1"/>
    </row>
    <row r="972" spans="2:3" ht="13.2">
      <c r="B972" s="1"/>
      <c r="C972" s="1"/>
    </row>
    <row r="973" spans="2:3" ht="13.2">
      <c r="B973" s="1"/>
      <c r="C973" s="1"/>
    </row>
    <row r="974" spans="2:3" ht="13.2">
      <c r="B974" s="1"/>
      <c r="C974" s="1"/>
    </row>
    <row r="975" spans="2:3" ht="13.2">
      <c r="B975" s="1"/>
      <c r="C975" s="1"/>
    </row>
    <row r="976" spans="2:3" ht="13.2">
      <c r="B976" s="1"/>
      <c r="C976" s="1"/>
    </row>
    <row r="977" spans="2:3" ht="13.2">
      <c r="B977" s="1"/>
      <c r="C977" s="1"/>
    </row>
    <row r="978" spans="2:3" ht="13.2">
      <c r="B978" s="1"/>
      <c r="C978" s="1"/>
    </row>
    <row r="979" spans="2:3" ht="13.2">
      <c r="B979" s="1"/>
      <c r="C979" s="1"/>
    </row>
    <row r="980" spans="2:3" ht="13.2">
      <c r="B980" s="1"/>
      <c r="C980" s="1"/>
    </row>
    <row r="981" spans="2:3" ht="13.2">
      <c r="B981" s="1"/>
      <c r="C981" s="1"/>
    </row>
    <row r="982" spans="2:3" ht="13.2">
      <c r="B982" s="1"/>
      <c r="C982" s="1"/>
    </row>
    <row r="983" spans="2:3" ht="13.2">
      <c r="B983" s="1"/>
      <c r="C983" s="1"/>
    </row>
    <row r="984" spans="2:3" ht="13.2">
      <c r="B984" s="1"/>
      <c r="C984" s="1"/>
    </row>
    <row r="985" spans="2:3" ht="13.2">
      <c r="B985" s="1"/>
      <c r="C985" s="1"/>
    </row>
    <row r="986" spans="2:3" ht="13.2">
      <c r="B986" s="1"/>
      <c r="C986" s="1"/>
    </row>
    <row r="987" spans="2:3" ht="13.2">
      <c r="B987" s="1"/>
      <c r="C987" s="1"/>
    </row>
    <row r="988" spans="2:3" ht="13.2">
      <c r="B988" s="1"/>
      <c r="C988" s="1"/>
    </row>
    <row r="989" spans="2:3" ht="13.2">
      <c r="B989" s="1"/>
      <c r="C989" s="1"/>
    </row>
    <row r="990" spans="2:3" ht="13.2">
      <c r="B990" s="1"/>
      <c r="C990" s="1"/>
    </row>
    <row r="991" spans="2:3" ht="13.2">
      <c r="B991" s="1"/>
      <c r="C991" s="1"/>
    </row>
    <row r="992" spans="2:3" ht="13.2">
      <c r="B992" s="1"/>
      <c r="C992" s="1"/>
    </row>
    <row r="993" spans="2:3" ht="13.2">
      <c r="B993" s="1"/>
      <c r="C993" s="1"/>
    </row>
    <row r="994" spans="2:3" ht="13.2">
      <c r="B994" s="1"/>
      <c r="C994" s="1"/>
    </row>
    <row r="995" spans="2:3" ht="13.2">
      <c r="B995" s="1"/>
      <c r="C995" s="1"/>
    </row>
    <row r="996" spans="2:3" ht="13.2">
      <c r="B996" s="1"/>
      <c r="C996" s="1"/>
    </row>
    <row r="997" spans="2:3" ht="13.2">
      <c r="B997" s="1"/>
      <c r="C997" s="1"/>
    </row>
    <row r="998" spans="2:3" ht="13.2">
      <c r="B998" s="1"/>
      <c r="C998" s="1"/>
    </row>
    <row r="999" spans="2:3" ht="13.2">
      <c r="B999" s="1"/>
      <c r="C999" s="1"/>
    </row>
    <row r="1000" spans="2:3" ht="13.2">
      <c r="B1000" s="1"/>
      <c r="C1000" s="1"/>
    </row>
    <row r="1001" spans="2:3" ht="13.2">
      <c r="B1001" s="1"/>
      <c r="C1001" s="1"/>
    </row>
    <row r="1002" spans="2:3" ht="13.2">
      <c r="B1002" s="1"/>
      <c r="C1002" s="1"/>
    </row>
    <row r="1003" spans="2:3" ht="13.2">
      <c r="B1003" s="1"/>
      <c r="C1003" s="1"/>
    </row>
    <row r="1004" spans="2:3" ht="13.2">
      <c r="B1004" s="1"/>
      <c r="C1004" s="1"/>
    </row>
    <row r="1005" spans="2:3" ht="13.2">
      <c r="B1005" s="1"/>
      <c r="C1005" s="1"/>
    </row>
    <row r="1006" spans="2:3" ht="13.2">
      <c r="B1006" s="1"/>
      <c r="C1006" s="1"/>
    </row>
    <row r="1007" spans="2:3" ht="13.2">
      <c r="B1007" s="1"/>
      <c r="C1007" s="1"/>
    </row>
    <row r="1008" spans="2:3" ht="13.2">
      <c r="B1008" s="1"/>
      <c r="C1008" s="1"/>
    </row>
    <row r="1009" spans="2:3" ht="13.2">
      <c r="B1009" s="1"/>
      <c r="C1009" s="1"/>
    </row>
    <row r="1010" spans="2:3" ht="13.2">
      <c r="B1010" s="1"/>
      <c r="C1010" s="1"/>
    </row>
    <row r="1011" spans="2:3" ht="13.2">
      <c r="B1011" s="1"/>
      <c r="C1011" s="1"/>
    </row>
    <row r="1012" spans="2:3" ht="13.2">
      <c r="B1012" s="1"/>
      <c r="C1012" s="1"/>
    </row>
    <row r="1013" spans="2:3" ht="13.2">
      <c r="B1013" s="1"/>
      <c r="C1013" s="1"/>
    </row>
    <row r="1014" spans="2:3" ht="13.2">
      <c r="B1014" s="1"/>
      <c r="C1014" s="1"/>
    </row>
    <row r="1015" spans="2:3" ht="13.2">
      <c r="B1015" s="1"/>
      <c r="C1015" s="1"/>
    </row>
    <row r="1016" spans="2:3" ht="13.2">
      <c r="B1016" s="1"/>
      <c r="C1016" s="1"/>
    </row>
    <row r="1017" spans="2:3" ht="13.2">
      <c r="B1017" s="1"/>
      <c r="C1017" s="1"/>
    </row>
    <row r="1018" spans="2:3" ht="13.2">
      <c r="B1018" s="1"/>
      <c r="C1018" s="1"/>
    </row>
    <row r="1019" spans="2:3" ht="13.2">
      <c r="B1019" s="1"/>
      <c r="C1019" s="1"/>
    </row>
    <row r="1020" spans="2:3" ht="13.2">
      <c r="B1020" s="1"/>
      <c r="C1020" s="1"/>
    </row>
    <row r="1021" spans="2:3" ht="13.2">
      <c r="B1021" s="1"/>
      <c r="C1021" s="1"/>
    </row>
    <row r="1022" spans="2:3" ht="13.2">
      <c r="B1022" s="1"/>
      <c r="C1022" s="1"/>
    </row>
    <row r="1023" spans="2:3" ht="13.2">
      <c r="B1023" s="1"/>
      <c r="C1023" s="1"/>
    </row>
    <row r="1024" spans="2:3" ht="13.2">
      <c r="B1024" s="1"/>
      <c r="C1024" s="1"/>
    </row>
    <row r="1025" spans="2:3" ht="13.2">
      <c r="B1025" s="1"/>
      <c r="C1025" s="1"/>
    </row>
    <row r="1026" spans="2:3" ht="13.2">
      <c r="B1026" s="1"/>
      <c r="C1026" s="1"/>
    </row>
  </sheetData>
  <mergeCells count="18">
    <mergeCell ref="X2:AE2"/>
    <mergeCell ref="E2:K2"/>
    <mergeCell ref="L2:W2"/>
    <mergeCell ref="B32:B35"/>
    <mergeCell ref="B36:B39"/>
    <mergeCell ref="B40:B43"/>
    <mergeCell ref="B2:B3"/>
    <mergeCell ref="C2:C3"/>
    <mergeCell ref="D2:D3"/>
    <mergeCell ref="B44:C44"/>
    <mergeCell ref="B45:C45"/>
    <mergeCell ref="B4:B7"/>
    <mergeCell ref="B8:B11"/>
    <mergeCell ref="B12:B15"/>
    <mergeCell ref="B16:B19"/>
    <mergeCell ref="B20:B23"/>
    <mergeCell ref="B24:B27"/>
    <mergeCell ref="B28:B31"/>
  </mergeCells>
  <phoneticPr fontId="14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0.(년도별)투자 수익율</vt:lpstr>
      <vt:lpstr>0.계좌별 수익율</vt:lpstr>
      <vt:lpstr>2.투자 실적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사용자</cp:lastModifiedBy>
  <dcterms:modified xsi:type="dcterms:W3CDTF">2026-08-19T04:46:46Z</dcterms:modified>
</cp:coreProperties>
</file>